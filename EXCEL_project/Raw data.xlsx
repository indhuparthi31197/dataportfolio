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runraj/Downloads/"/>
    </mc:Choice>
  </mc:AlternateContent>
  <xr:revisionPtr revIDLastSave="0" documentId="13_ncr:1_{6F5CA34C-E0A6-8B4B-935D-FA552ECCA2F6}" xr6:coauthVersionLast="47" xr6:coauthVersionMax="47" xr10:uidLastSave="{00000000-0000-0000-0000-000000000000}"/>
  <bookViews>
    <workbookView xWindow="0" yWindow="600" windowWidth="28800" windowHeight="15540" activeTab="1" xr2:uid="{29D348B9-4A0A-C94C-895C-E9579110E6C7}"/>
  </bookViews>
  <sheets>
    <sheet name="Category Report" sheetId="5" r:id="rId1"/>
    <sheet name="Cleaned category table" sheetId="12" r:id="rId2"/>
    <sheet name="Category Details" sheetId="11" r:id="rId3"/>
  </sheets>
  <definedNames>
    <definedName name="_xlnm._FilterDatabase" localSheetId="0" hidden="1">'Category Report'!$A$1:$E$639</definedName>
    <definedName name="ExternalData_1" localSheetId="2" hidden="1">'Category Details'!$A$1:$C$115</definedName>
    <definedName name="ExternalData_2" localSheetId="1" hidden="1">'Cleaned category table'!$A$1:$C$121</definedName>
    <definedName name="Raw_data">#REF!</definedName>
    <definedName name="rd">#REF!</definedName>
  </definedNames>
  <calcPr calcId="191029"/>
  <pivotCaches>
    <pivotCache cacheId="1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5" l="1"/>
  <c r="F4" i="5"/>
  <c r="F3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3DE25E-5328-9344-BFB5-4CACFE3AEDE6}" keepAlive="1" name="Query - Category" description="Connection to the 'Category' query in the workbook." type="5" refreshedVersion="8" background="1" saveData="1">
    <dbPr connection="Provider=Microsoft.Mashup.OleDb.1;Data Source=$Workbook$;Location=Category;Extended Properties=&quot;&quot;" command="SELECT * FROM [Category]"/>
  </connection>
  <connection id="2" xr16:uid="{3365D40F-D2C9-CB49-BEE8-F7584E3EE14F}" keepAlive="1" name="Query - Table" description="Connection to the 'Table' query in the workbook." type="5" refreshedVersion="0" background="1">
    <dbPr connection="Provider=Microsoft.Mashup.OleDb.1;Data Source=$Workbook$;Location=Table;Extended Properties=&quot;&quot;" command="SELECT * FROM [Table]"/>
  </connection>
  <connection id="3" xr16:uid="{62F2C836-F999-B340-8032-D5381103F9D6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<sst xmlns="http://schemas.openxmlformats.org/spreadsheetml/2006/main" count="1798" uniqueCount="198">
  <si>
    <t>Date</t>
  </si>
  <si>
    <t>Amount</t>
  </si>
  <si>
    <t>Location</t>
  </si>
  <si>
    <t>Country</t>
  </si>
  <si>
    <t>EE</t>
  </si>
  <si>
    <t>IE</t>
  </si>
  <si>
    <t>PŁATNOŚĆ BLIK</t>
  </si>
  <si>
    <t>OPŁ. ZA WYD. I OBSŁ. KARTY PŁAT.</t>
  </si>
  <si>
    <t>LU</t>
  </si>
  <si>
    <t>NL</t>
  </si>
  <si>
    <t>MT</t>
  </si>
  <si>
    <t>KRAPL</t>
  </si>
  <si>
    <t>Flex</t>
  </si>
  <si>
    <t>aliexpress Luxembourg</t>
  </si>
  <si>
    <t>Paynow</t>
  </si>
  <si>
    <t>AT</t>
  </si>
  <si>
    <t>ES</t>
  </si>
  <si>
    <t>LEBPL</t>
  </si>
  <si>
    <t>Opodo BARCELONA</t>
  </si>
  <si>
    <t>PL</t>
  </si>
  <si>
    <t>Allegro Poznan</t>
  </si>
  <si>
    <t>jakdojade.pl Poznan</t>
  </si>
  <si>
    <t>ORANGE FLEX WARSZAWA</t>
  </si>
  <si>
    <t>FOTOEXPRESS WARSZAWA WARSZAWA</t>
  </si>
  <si>
    <t>Orange Flex warszawa</t>
  </si>
  <si>
    <t>MEDIAEXPERT PL ZLOTOW</t>
  </si>
  <si>
    <t>SumUp *FUNDACJA OTWOR Warszawa</t>
  </si>
  <si>
    <t>MPL SERVICES SP. Z O.O Balice</t>
  </si>
  <si>
    <t>www.bilet.intercity.pl Warszawa</t>
  </si>
  <si>
    <t>Twoje Zdrowie G.Chelm Chelm</t>
  </si>
  <si>
    <t>UBER</t>
  </si>
  <si>
    <t>UBER EATS</t>
  </si>
  <si>
    <t>School Fee</t>
  </si>
  <si>
    <t>BLIK</t>
  </si>
  <si>
    <t>BOLT</t>
  </si>
  <si>
    <t>Pyszne.pl W</t>
  </si>
  <si>
    <t>LUFTHAN</t>
  </si>
  <si>
    <t>BIEDRONKA</t>
  </si>
  <si>
    <t>ZABKA</t>
  </si>
  <si>
    <t>Franco&amp;Polo team</t>
  </si>
  <si>
    <t>LITTLE INDIA</t>
  </si>
  <si>
    <t>COFFEE FAMILY GROUP SP</t>
  </si>
  <si>
    <t>MASALA MADNESS</t>
  </si>
  <si>
    <t>MCDONALDS</t>
  </si>
  <si>
    <t>BUBBLEJOY</t>
  </si>
  <si>
    <t>KEBAB KING</t>
  </si>
  <si>
    <t>POCO LOCO</t>
  </si>
  <si>
    <t>STOKROTKA NR</t>
  </si>
  <si>
    <t>POLSKIE TRUSKAWKI</t>
  </si>
  <si>
    <t>REKOCZYNY CAFE &amp; BAK</t>
  </si>
  <si>
    <t>GRUZINSKA PIEKARNIA</t>
  </si>
  <si>
    <t>LIDL</t>
  </si>
  <si>
    <t>Zamowienie drogerii dm Wroclaw</t>
  </si>
  <si>
    <t>ACTION</t>
  </si>
  <si>
    <t>KASOWNIK ZTP  K</t>
  </si>
  <si>
    <t>VIET TIEN</t>
  </si>
  <si>
    <t>DM­DROGERIE MAR</t>
  </si>
  <si>
    <t>LODY PASTELLO MYSLENICE</t>
  </si>
  <si>
    <t>EVEREST NEPAL SPOLKA</t>
  </si>
  <si>
    <t>PAINTBALL</t>
  </si>
  <si>
    <t>RYANAIR U</t>
  </si>
  <si>
    <t>EMIGRANT SPECIALTY CO</t>
  </si>
  <si>
    <t>FIVE O CLOCK</t>
  </si>
  <si>
    <t>MPK</t>
  </si>
  <si>
    <t>THE MADRAS SP Z O O</t>
  </si>
  <si>
    <t>AVENTURA POR MEXICO</t>
  </si>
  <si>
    <t>KUKU TAIWAN BISTRO</t>
  </si>
  <si>
    <t>MECH CAFE</t>
  </si>
  <si>
    <t>gemini.pl Gdansk</t>
  </si>
  <si>
    <t>C &amp; A</t>
  </si>
  <si>
    <t>INDIA STORE</t>
  </si>
  <si>
    <t>PRACOWNIA CUKIERNICZA</t>
  </si>
  <si>
    <t>MOUNTAIN WAREHOUSE Warszawa</t>
  </si>
  <si>
    <t>Uslugi Gastronomiczne Warszawa</t>
  </si>
  <si>
    <t>SMYK SPOLKA AKCYJNA</t>
  </si>
  <si>
    <t>LAHORE RESTAURANT WARSZAWA</t>
  </si>
  <si>
    <t>ME M</t>
  </si>
  <si>
    <t>PHZ BALTONA C</t>
  </si>
  <si>
    <t>LPP RESERVED</t>
  </si>
  <si>
    <t>SALON STUDIO.ME WARSZAWA</t>
  </si>
  <si>
    <t>CURRY LEAVES WARSZAWA</t>
  </si>
  <si>
    <t>MAJA DO HOANG VAN DO Warszawa</t>
  </si>
  <si>
    <t>WARS ANNA YANUSHEVYCH WARSZAWA</t>
  </si>
  <si>
    <t>NORTH FISH GALERIA BON</t>
  </si>
  <si>
    <t>PEPCO</t>
  </si>
  <si>
    <t>JYSK SP. Z O.O.</t>
  </si>
  <si>
    <t>TEDI</t>
  </si>
  <si>
    <t>Habibi Restauracja</t>
  </si>
  <si>
    <t>PRO*LITTLEINDIA.PL WARSZAWA</t>
  </si>
  <si>
    <t>GORACO POLECAM</t>
  </si>
  <si>
    <t>COSTA COFFEE</t>
  </si>
  <si>
    <t>LPP MOHITO</t>
  </si>
  <si>
    <t>IKEA</t>
  </si>
  <si>
    <t>F.H.U. MICHAL TRESTKA</t>
  </si>
  <si>
    <t>MOBILIS SP. Z O.O.</t>
  </si>
  <si>
    <t>STUDIO URODY ULTIMA WARSZAWA</t>
  </si>
  <si>
    <t>MASALA CURRY GRILL WARSZAWA</t>
  </si>
  <si>
    <t>TheBooks.pl Warszawa</t>
  </si>
  <si>
    <t>WARSZAWA MARSZALKOWSKA Warszawa</t>
  </si>
  <si>
    <t>Nike URSUS WARSZAWA</t>
  </si>
  <si>
    <t>OKSI KEBAB WARSZAWA</t>
  </si>
  <si>
    <t>NOODLE HOUSE FAST FOO WARSZAWA</t>
  </si>
  <si>
    <t>LEONINA IERSHOVA</t>
  </si>
  <si>
    <t>Apteka Galen</t>
  </si>
  <si>
    <t>STRADIVARIUS GALERIA K</t>
  </si>
  <si>
    <t>ROSSMANN</t>
  </si>
  <si>
    <t>SUBWAY</t>
  </si>
  <si>
    <t>BURGER KING</t>
  </si>
  <si>
    <t>Premium Food</t>
  </si>
  <si>
    <t>ZIKO APTEKA</t>
  </si>
  <si>
    <t>KOLEJE MALOPOLSKIE SP.</t>
  </si>
  <si>
    <t>APTEKA VITA</t>
  </si>
  <si>
    <t>VIETNAM FOOD</t>
  </si>
  <si>
    <t>YUM YUM</t>
  </si>
  <si>
    <t>Good Lood</t>
  </si>
  <si>
    <t>FUNDACJA MIEJSKI PARK</t>
  </si>
  <si>
    <t>LA BAGUETTE</t>
  </si>
  <si>
    <t>FOOD FAMILY</t>
  </si>
  <si>
    <t>GREEN COFFEE SP ZOO</t>
  </si>
  <si>
    <t>KEBAB STOJEDEN</t>
  </si>
  <si>
    <t>FIRMA TONI THAT DONG T NOWA HUTA</t>
  </si>
  <si>
    <t>APTEKA GALEN</t>
  </si>
  <si>
    <t>EURO NET SP Z O O</t>
  </si>
  <si>
    <t>Berlin Doner Kebap</t>
  </si>
  <si>
    <t>Pyszne.pl YCPM</t>
  </si>
  <si>
    <t>SIKORA SP Z O O</t>
  </si>
  <si>
    <t>Glovo</t>
  </si>
  <si>
    <t>RESTAURACJA HOAN</t>
  </si>
  <si>
    <t>ORGANIC COFFEE AND MOR</t>
  </si>
  <si>
    <t>NAKIELNY</t>
  </si>
  <si>
    <t>OEBB Ticket Automat Wien</t>
  </si>
  <si>
    <t>P</t>
  </si>
  <si>
    <t>mka.malopolska.pl</t>
  </si>
  <si>
    <t>Hindus Food</t>
  </si>
  <si>
    <t>GMINA MIEJSKA</t>
  </si>
  <si>
    <t>Deichmann­Obuwie Sp.z.</t>
  </si>
  <si>
    <t>OPODO +</t>
  </si>
  <si>
    <t>OWOCOWY RAJ</t>
  </si>
  <si>
    <t>GLOVO</t>
  </si>
  <si>
    <t>CHEBUREKI.PL</t>
  </si>
  <si>
    <t>KIK TEXTIL SP. Z O.O.</t>
  </si>
  <si>
    <t>LYSA GORA SP. KOMAND</t>
  </si>
  <si>
    <t>Warszawa Centralna PK Warszawa</t>
  </si>
  <si>
    <t>AGATA MIERZWA NOWA WIES</t>
  </si>
  <si>
    <t>OPODO PRIME M BARCELONA</t>
  </si>
  <si>
    <t xml:space="preserve">Super­Pharm </t>
  </si>
  <si>
    <t>AUCHAN</t>
  </si>
  <si>
    <t>DECATHLON</t>
  </si>
  <si>
    <t>CARREFOUR</t>
  </si>
  <si>
    <t>Super­Pharm</t>
  </si>
  <si>
    <t xml:space="preserve">KFC </t>
  </si>
  <si>
    <t xml:space="preserve">DECATHLON </t>
  </si>
  <si>
    <t>APPLE SUBSCRIPTIONS BILL</t>
  </si>
  <si>
    <t>HEBE</t>
  </si>
  <si>
    <t>FREENOW</t>
  </si>
  <si>
    <t>SO COFFEE</t>
  </si>
  <si>
    <t>BUBBLE JOY</t>
  </si>
  <si>
    <t>Category</t>
  </si>
  <si>
    <t>Shop name</t>
  </si>
  <si>
    <t>LAJKONIK PIEKARNIA</t>
  </si>
  <si>
    <t>AWITEKS</t>
  </si>
  <si>
    <t>OKAIDI</t>
  </si>
  <si>
    <t>STRADIVARIUS</t>
  </si>
  <si>
    <t>FOOD DELIVERY</t>
  </si>
  <si>
    <t>OTHER</t>
  </si>
  <si>
    <t>FOOD</t>
  </si>
  <si>
    <t>NORTH FISH</t>
  </si>
  <si>
    <t>COFFEE SHOP</t>
  </si>
  <si>
    <t>PHARMACY</t>
  </si>
  <si>
    <t>GROCERIES</t>
  </si>
  <si>
    <t>HOME NEEDS</t>
  </si>
  <si>
    <t>CLOTHING</t>
  </si>
  <si>
    <t>TRAVEL</t>
  </si>
  <si>
    <t>Category ID</t>
  </si>
  <si>
    <t>Category Id</t>
  </si>
  <si>
    <t>ONLINE ORDERS</t>
  </si>
  <si>
    <t>Row Labels</t>
  </si>
  <si>
    <t>OCCATIONAL</t>
  </si>
  <si>
    <t>Grand Total</t>
  </si>
  <si>
    <t>Sum of Amount</t>
  </si>
  <si>
    <t>Count</t>
  </si>
  <si>
    <t>franco&amp;Polo team</t>
  </si>
  <si>
    <t>KFC</t>
  </si>
  <si>
    <t>OPODO</t>
  </si>
  <si>
    <t>LUFTHANSA</t>
  </si>
  <si>
    <t>% of total</t>
  </si>
  <si>
    <t>Months</t>
  </si>
  <si>
    <t>January</t>
  </si>
  <si>
    <t>June</t>
  </si>
  <si>
    <t>July</t>
  </si>
  <si>
    <t>August</t>
  </si>
  <si>
    <t>September</t>
  </si>
  <si>
    <t>October</t>
  </si>
  <si>
    <t>November</t>
  </si>
  <si>
    <t>December</t>
  </si>
  <si>
    <t>% of amount per month</t>
  </si>
  <si>
    <t>Pivot by Category</t>
  </si>
  <si>
    <t>Pivot by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</si>
</sst>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NumberFormat="1"/>
    <xf numFmtId="0" fontId="0" fillId="0" borderId="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4" fontId="0" fillId="0" borderId="0" xfId="0" applyNumberFormat="1"/>
    <xf numFmtId="0" fontId="3" fillId="0" borderId="0" xfId="0" applyFont="1" applyAlignment="1">
      <alignment horizontal="left"/>
    </xf>
    <xf numFmtId="0" fontId="0" fillId="0" borderId="1" xfId="0" applyNumberFormat="1" applyFont="1" applyFill="1" applyBorder="1"/>
    <xf numFmtId="0" fontId="0" fillId="0" borderId="0" xfId="0" applyFill="1"/>
    <xf numFmtId="0" fontId="4" fillId="0" borderId="1" xfId="0" applyNumberFormat="1" applyFont="1" applyFill="1" applyBorder="1"/>
    <xf numFmtId="49" fontId="0" fillId="0" borderId="0" xfId="0" applyNumberFormat="1"/>
  </cellXfs>
  <cellStyles count="1">
    <cellStyle name="Normal" xfId="0" builtinId="0"/>
  </cellStyles>
  <dxfs count="14"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data.xlsx]Category Report!PivotTable1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Report'!$K$7</c:f>
              <c:strCache>
                <c:ptCount val="1"/>
                <c:pt idx="0">
                  <c:v>Sum of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Report'!$J$8:$J$19</c:f>
              <c:strCache>
                <c:ptCount val="11"/>
                <c:pt idx="0">
                  <c:v>CLOTHING</c:v>
                </c:pt>
                <c:pt idx="1">
                  <c:v>COFFEE SHOP</c:v>
                </c:pt>
                <c:pt idx="2">
                  <c:v>FOOD</c:v>
                </c:pt>
                <c:pt idx="3">
                  <c:v>FOOD DELIVERY</c:v>
                </c:pt>
                <c:pt idx="4">
                  <c:v>GROCERIES</c:v>
                </c:pt>
                <c:pt idx="5">
                  <c:v>HOME NEEDS</c:v>
                </c:pt>
                <c:pt idx="6">
                  <c:v>OCCATIONAL</c:v>
                </c:pt>
                <c:pt idx="7">
                  <c:v>ONLINE ORDERS</c:v>
                </c:pt>
                <c:pt idx="8">
                  <c:v>OTHER</c:v>
                </c:pt>
                <c:pt idx="9">
                  <c:v>PHARMACY</c:v>
                </c:pt>
                <c:pt idx="10">
                  <c:v>TRAVEL</c:v>
                </c:pt>
              </c:strCache>
            </c:strRef>
          </c:cat>
          <c:val>
            <c:numRef>
              <c:f>'Category Report'!$K$8:$K$19</c:f>
              <c:numCache>
                <c:formatCode>General</c:formatCode>
                <c:ptCount val="11"/>
                <c:pt idx="0">
                  <c:v>2796.27</c:v>
                </c:pt>
                <c:pt idx="1">
                  <c:v>638.85</c:v>
                </c:pt>
                <c:pt idx="2">
                  <c:v>2372.3199999999993</c:v>
                </c:pt>
                <c:pt idx="3">
                  <c:v>1711.8000000000002</c:v>
                </c:pt>
                <c:pt idx="4">
                  <c:v>13631.13</c:v>
                </c:pt>
                <c:pt idx="5">
                  <c:v>9210.0099999999984</c:v>
                </c:pt>
                <c:pt idx="6">
                  <c:v>5104.2099999999982</c:v>
                </c:pt>
                <c:pt idx="7">
                  <c:v>1422.8999999999999</c:v>
                </c:pt>
                <c:pt idx="8">
                  <c:v>238</c:v>
                </c:pt>
                <c:pt idx="9">
                  <c:v>275.05</c:v>
                </c:pt>
                <c:pt idx="10">
                  <c:v>5154.32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E6-064F-A92C-9B3BF203BB47}"/>
            </c:ext>
          </c:extLst>
        </c:ser>
        <c:ser>
          <c:idx val="1"/>
          <c:order val="1"/>
          <c:tx>
            <c:strRef>
              <c:f>'Category Report'!$L$7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Report'!$J$8:$J$19</c:f>
              <c:strCache>
                <c:ptCount val="11"/>
                <c:pt idx="0">
                  <c:v>CLOTHING</c:v>
                </c:pt>
                <c:pt idx="1">
                  <c:v>COFFEE SHOP</c:v>
                </c:pt>
                <c:pt idx="2">
                  <c:v>FOOD</c:v>
                </c:pt>
                <c:pt idx="3">
                  <c:v>FOOD DELIVERY</c:v>
                </c:pt>
                <c:pt idx="4">
                  <c:v>GROCERIES</c:v>
                </c:pt>
                <c:pt idx="5">
                  <c:v>HOME NEEDS</c:v>
                </c:pt>
                <c:pt idx="6">
                  <c:v>OCCATIONAL</c:v>
                </c:pt>
                <c:pt idx="7">
                  <c:v>ONLINE ORDERS</c:v>
                </c:pt>
                <c:pt idx="8">
                  <c:v>OTHER</c:v>
                </c:pt>
                <c:pt idx="9">
                  <c:v>PHARMACY</c:v>
                </c:pt>
                <c:pt idx="10">
                  <c:v>TRAVEL</c:v>
                </c:pt>
              </c:strCache>
            </c:strRef>
          </c:cat>
          <c:val>
            <c:numRef>
              <c:f>'Category Report'!$L$8:$L$19</c:f>
              <c:numCache>
                <c:formatCode>General</c:formatCode>
                <c:ptCount val="11"/>
                <c:pt idx="0">
                  <c:v>33</c:v>
                </c:pt>
                <c:pt idx="1">
                  <c:v>27</c:v>
                </c:pt>
                <c:pt idx="2">
                  <c:v>76</c:v>
                </c:pt>
                <c:pt idx="3">
                  <c:v>29</c:v>
                </c:pt>
                <c:pt idx="4">
                  <c:v>189</c:v>
                </c:pt>
                <c:pt idx="5">
                  <c:v>77</c:v>
                </c:pt>
                <c:pt idx="6">
                  <c:v>74</c:v>
                </c:pt>
                <c:pt idx="7">
                  <c:v>16</c:v>
                </c:pt>
                <c:pt idx="8">
                  <c:v>7</c:v>
                </c:pt>
                <c:pt idx="9">
                  <c:v>6</c:v>
                </c:pt>
                <c:pt idx="10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E6-064F-A92C-9B3BF203BB47}"/>
            </c:ext>
          </c:extLst>
        </c:ser>
        <c:ser>
          <c:idx val="2"/>
          <c:order val="2"/>
          <c:tx>
            <c:strRef>
              <c:f>'Category Report'!$M$7</c:f>
              <c:strCache>
                <c:ptCount val="1"/>
                <c:pt idx="0">
                  <c:v>% of 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'Category Report'!$J$8:$J$19</c:f>
              <c:strCache>
                <c:ptCount val="11"/>
                <c:pt idx="0">
                  <c:v>CLOTHING</c:v>
                </c:pt>
                <c:pt idx="1">
                  <c:v>COFFEE SHOP</c:v>
                </c:pt>
                <c:pt idx="2">
                  <c:v>FOOD</c:v>
                </c:pt>
                <c:pt idx="3">
                  <c:v>FOOD DELIVERY</c:v>
                </c:pt>
                <c:pt idx="4">
                  <c:v>GROCERIES</c:v>
                </c:pt>
                <c:pt idx="5">
                  <c:v>HOME NEEDS</c:v>
                </c:pt>
                <c:pt idx="6">
                  <c:v>OCCATIONAL</c:v>
                </c:pt>
                <c:pt idx="7">
                  <c:v>ONLINE ORDERS</c:v>
                </c:pt>
                <c:pt idx="8">
                  <c:v>OTHER</c:v>
                </c:pt>
                <c:pt idx="9">
                  <c:v>PHARMACY</c:v>
                </c:pt>
                <c:pt idx="10">
                  <c:v>TRAVEL</c:v>
                </c:pt>
              </c:strCache>
            </c:strRef>
          </c:cat>
          <c:val>
            <c:numRef>
              <c:f>'Category Report'!$M$8:$M$19</c:f>
              <c:numCache>
                <c:formatCode>0.00%</c:formatCode>
                <c:ptCount val="11"/>
                <c:pt idx="0">
                  <c:v>6.5709768519976341E-2</c:v>
                </c:pt>
                <c:pt idx="1">
                  <c:v>1.5012386364330657E-2</c:v>
                </c:pt>
                <c:pt idx="2">
                  <c:v>5.5747334147028087E-2</c:v>
                </c:pt>
                <c:pt idx="3">
                  <c:v>4.0225722749411004E-2</c:v>
                </c:pt>
                <c:pt idx="4">
                  <c:v>0.3203189952921946</c:v>
                </c:pt>
                <c:pt idx="5">
                  <c:v>0.21642674890717534</c:v>
                </c:pt>
                <c:pt idx="6">
                  <c:v>0.11994423198666378</c:v>
                </c:pt>
                <c:pt idx="7">
                  <c:v>3.3436838941545102E-2</c:v>
                </c:pt>
                <c:pt idx="8">
                  <c:v>5.592780707068477E-3</c:v>
                </c:pt>
                <c:pt idx="9">
                  <c:v>6.4634215692402717E-3</c:v>
                </c:pt>
                <c:pt idx="10">
                  <c:v>0.12112177081536635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E6-064F-A92C-9B3BF203B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7562624"/>
        <c:axId val="1736792192"/>
      </c:barChart>
      <c:catAx>
        <c:axId val="172756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736792192"/>
        <c:crosses val="autoZero"/>
        <c:auto val="1"/>
        <c:lblAlgn val="ctr"/>
        <c:lblOffset val="100"/>
        <c:noMultiLvlLbl val="0"/>
      </c:catAx>
      <c:valAx>
        <c:axId val="173679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72756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546100</xdr:colOff>
      <xdr:row>22</xdr:row>
      <xdr:rowOff>69850</xdr:rowOff>
    </xdr:from>
    <xdr:to>
      <xdr:col>13</xdr:col>
      <xdr:colOff>685800</xdr:colOff>
      <xdr:row>39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91C7BA-66CD-D549-2D18-ABCB3A198D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un Raj" refreshedDate="46062.568269097224" createdVersion="8" refreshedVersion="8" minRefreshableVersion="3" recordCount="639" xr:uid="{171357A6-B4B1-0944-8E25-12016B1A0513}">
  <cacheSource type="worksheet">
    <worksheetSource ref="A1:F1048576" sheet="Category Report"/>
  </cacheSource>
  <cacheFields count="6">
    <cacheField name="Date" numFmtId="14">
      <sharedItems containsNonDate="0" containsDate="1" containsString="0" containsBlank="1" minDate="2025-06-06T00:00:00" maxDate="2026-01-09T00:00:00"/>
    </cacheField>
    <cacheField name="Months" numFmtId="0">
      <sharedItems containsBlank="1" count="9">
        <s v="June"/>
        <s v="July"/>
        <s v="August"/>
        <s v="September"/>
        <s v="October"/>
        <s v="November"/>
        <s v="December"/>
        <s v="January"/>
        <m/>
      </sharedItems>
    </cacheField>
    <cacheField name="Location" numFmtId="0">
      <sharedItems containsBlank="1"/>
    </cacheField>
    <cacheField name="Country" numFmtId="0">
      <sharedItems containsBlank="1"/>
    </cacheField>
    <cacheField name="Amount" numFmtId="0">
      <sharedItems containsString="0" containsBlank="1" containsNumber="1" minValue="0.79" maxValue="996.93"/>
    </cacheField>
    <cacheField name="Category" numFmtId="0">
      <sharedItems containsBlank="1" count="12">
        <s v="CLOTHING"/>
        <s v="ONLINE ORDERS"/>
        <s v="GROCERIES"/>
        <s v="OCCATIONAL"/>
        <s v="COFFEE SHOP"/>
        <s v="FOOD"/>
        <s v="TRAVEL"/>
        <s v="HOME NEEDS"/>
        <s v="OTHER"/>
        <s v="PHARMACY"/>
        <s v="FOOD DELIVERY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9">
  <r>
    <d v="2025-06-06T00:00:00"/>
    <x v="0"/>
    <s v="franco&amp;Polo team"/>
    <s v="PL"/>
    <n v="29.98"/>
    <x v="0"/>
  </r>
  <r>
    <d v="2025-06-06T00:00:00"/>
    <x v="0"/>
    <s v="Allegro Poznan"/>
    <s v="PL"/>
    <n v="15"/>
    <x v="1"/>
  </r>
  <r>
    <d v="2025-06-06T00:00:00"/>
    <x v="0"/>
    <s v="BIEDRONKA"/>
    <s v="PL"/>
    <n v="288.48"/>
    <x v="2"/>
  </r>
  <r>
    <d v="2025-06-07T00:00:00"/>
    <x v="0"/>
    <s v="LITTLE INDIA"/>
    <s v="PL"/>
    <n v="100.58"/>
    <x v="3"/>
  </r>
  <r>
    <d v="2025-06-07T00:00:00"/>
    <x v="0"/>
    <s v="COFFEE FAMILY GROUP SP"/>
    <s v="PL"/>
    <n v="22"/>
    <x v="4"/>
  </r>
  <r>
    <d v="2025-06-07T00:00:00"/>
    <x v="0"/>
    <s v="DECATHLON "/>
    <s v="PL"/>
    <n v="263.43"/>
    <x v="3"/>
  </r>
  <r>
    <d v="2025-06-07T00:00:00"/>
    <x v="0"/>
    <s v="MASALA MADNESS"/>
    <s v="PL"/>
    <n v="49"/>
    <x v="5"/>
  </r>
  <r>
    <d v="2025-06-07T00:00:00"/>
    <x v="0"/>
    <s v="MCDONALDS"/>
    <s v="PL"/>
    <n v="11.9"/>
    <x v="5"/>
  </r>
  <r>
    <d v="2025-06-07T00:00:00"/>
    <x v="0"/>
    <s v="jakdojade.pl Poznan"/>
    <s v="PL"/>
    <n v="25"/>
    <x v="6"/>
  </r>
  <r>
    <d v="2025-06-07T00:00:00"/>
    <x v="0"/>
    <s v="BUBBLEJOY"/>
    <s v="PL"/>
    <n v="26.9"/>
    <x v="3"/>
  </r>
  <r>
    <d v="2025-06-07T00:00:00"/>
    <x v="0"/>
    <s v="BIEDRONKA"/>
    <s v="PL"/>
    <n v="7.14"/>
    <x v="2"/>
  </r>
  <r>
    <d v="2025-06-07T00:00:00"/>
    <x v="0"/>
    <s v="KEBAB KING"/>
    <s v="PL"/>
    <n v="25.5"/>
    <x v="5"/>
  </r>
  <r>
    <d v="2025-06-07T00:00:00"/>
    <x v="0"/>
    <s v="POCO LOCO"/>
    <s v="PL"/>
    <n v="37"/>
    <x v="5"/>
  </r>
  <r>
    <d v="2025-06-07T00:00:00"/>
    <x v="0"/>
    <s v="ZABKA"/>
    <s v="PL"/>
    <n v="12.88"/>
    <x v="2"/>
  </r>
  <r>
    <d v="2025-06-08T00:00:00"/>
    <x v="0"/>
    <s v="STOKROTKA NR"/>
    <s v="PL"/>
    <n v="8.49"/>
    <x v="2"/>
  </r>
  <r>
    <d v="2025-06-09T00:00:00"/>
    <x v="0"/>
    <s v="POLSKIE TRUSKAWKI"/>
    <s v="PL"/>
    <n v="11"/>
    <x v="2"/>
  </r>
  <r>
    <d v="2025-06-09T00:00:00"/>
    <x v="0"/>
    <s v="REKOCZYNY CAFE &amp; BAK"/>
    <s v="PL"/>
    <n v="40.799999999999997"/>
    <x v="4"/>
  </r>
  <r>
    <d v="2025-06-09T00:00:00"/>
    <x v="0"/>
    <s v="School Fee"/>
    <s v="PL"/>
    <n v="747.19"/>
    <x v="7"/>
  </r>
  <r>
    <d v="2025-06-10T00:00:00"/>
    <x v="0"/>
    <s v="franco&amp;Polo team"/>
    <s v="PL"/>
    <n v="27.97"/>
    <x v="0"/>
  </r>
  <r>
    <d v="2025-06-10T00:00:00"/>
    <x v="0"/>
    <s v="GRUZINSKA PIEKARNIA"/>
    <s v="PL"/>
    <n v="8"/>
    <x v="4"/>
  </r>
  <r>
    <d v="2025-06-10T00:00:00"/>
    <x v="0"/>
    <s v="LIDL"/>
    <s v="PL"/>
    <n v="50.05"/>
    <x v="2"/>
  </r>
  <r>
    <d v="2025-06-10T00:00:00"/>
    <x v="0"/>
    <s v="STOKROTKA NR"/>
    <s v="PL"/>
    <n v="8.49"/>
    <x v="2"/>
  </r>
  <r>
    <d v="2025-06-10T00:00:00"/>
    <x v="0"/>
    <s v="BIEDRONKA"/>
    <s v="PL"/>
    <n v="8.9700000000000006"/>
    <x v="2"/>
  </r>
  <r>
    <d v="2025-06-11T00:00:00"/>
    <x v="0"/>
    <s v="jakdojade.pl Poznan"/>
    <s v="PL"/>
    <n v="25"/>
    <x v="6"/>
  </r>
  <r>
    <d v="2025-06-11T00:00:00"/>
    <x v="0"/>
    <s v="Allegro Poznan"/>
    <s v="PL"/>
    <n v="41.11"/>
    <x v="1"/>
  </r>
  <r>
    <d v="2025-06-11T00:00:00"/>
    <x v="0"/>
    <s v="BIEDRONKA"/>
    <s v="PL"/>
    <n v="147.32"/>
    <x v="2"/>
  </r>
  <r>
    <d v="2025-06-11T00:00:00"/>
    <x v="0"/>
    <s v="BIEDRONKA"/>
    <s v="PL"/>
    <n v="9.18"/>
    <x v="2"/>
  </r>
  <r>
    <d v="2025-06-12T00:00:00"/>
    <x v="0"/>
    <s v="franco&amp;Polo team"/>
    <s v="PL"/>
    <n v="33.950000000000003"/>
    <x v="0"/>
  </r>
  <r>
    <d v="2025-06-12T00:00:00"/>
    <x v="0"/>
    <s v="AUCHAN"/>
    <s v="PL"/>
    <n v="5.96"/>
    <x v="2"/>
  </r>
  <r>
    <d v="2025-06-13T00:00:00"/>
    <x v="0"/>
    <s v="Zamowienie drogerii dm Wroclaw"/>
    <s v="PL"/>
    <n v="138.29"/>
    <x v="3"/>
  </r>
  <r>
    <d v="2025-06-13T00:00:00"/>
    <x v="0"/>
    <s v="REKOCZYNY CAFE &amp; BAK"/>
    <s v="PL"/>
    <n v="35.71"/>
    <x v="4"/>
  </r>
  <r>
    <d v="2025-06-13T00:00:00"/>
    <x v="0"/>
    <s v="MCDONALDS"/>
    <s v="PL"/>
    <n v="15"/>
    <x v="5"/>
  </r>
  <r>
    <d v="2025-06-13T00:00:00"/>
    <x v="0"/>
    <s v="ACTION"/>
    <s v="PL"/>
    <n v="15.44"/>
    <x v="7"/>
  </r>
  <r>
    <d v="2025-06-13T00:00:00"/>
    <x v="0"/>
    <s v="BOLT"/>
    <s v="EE"/>
    <n v="32.25"/>
    <x v="6"/>
  </r>
  <r>
    <d v="2025-06-13T00:00:00"/>
    <x v="0"/>
    <s v="KASOWNIK ZTP  K"/>
    <s v="PL"/>
    <n v="4"/>
    <x v="3"/>
  </r>
  <r>
    <d v="2025-06-13T00:00:00"/>
    <x v="0"/>
    <s v="BIEDRONKA"/>
    <s v="PL"/>
    <n v="3.34"/>
    <x v="2"/>
  </r>
  <r>
    <d v="2025-06-14T00:00:00"/>
    <x v="0"/>
    <s v="POLSKIE TRUSKAWKI"/>
    <s v="PL"/>
    <n v="12"/>
    <x v="2"/>
  </r>
  <r>
    <d v="2025-06-14T00:00:00"/>
    <x v="0"/>
    <s v="VIET TIEN"/>
    <s v="PL"/>
    <n v="37"/>
    <x v="5"/>
  </r>
  <r>
    <d v="2025-06-14T00:00:00"/>
    <x v="0"/>
    <s v="LITTLE INDIA"/>
    <s v="PL"/>
    <n v="65"/>
    <x v="3"/>
  </r>
  <r>
    <d v="2025-06-14T00:00:00"/>
    <x v="0"/>
    <s v="DM­DROGERIE MAR"/>
    <s v="PL"/>
    <n v="5.65"/>
    <x v="7"/>
  </r>
  <r>
    <d v="2025-06-14T00:00:00"/>
    <x v="0"/>
    <s v="jakdojade.pl Poznan"/>
    <s v="PL"/>
    <n v="25"/>
    <x v="6"/>
  </r>
  <r>
    <d v="2025-06-14T00:00:00"/>
    <x v="0"/>
    <s v="LODY PASTELLO MYSLENICE"/>
    <s v="PL"/>
    <n v="23.5"/>
    <x v="5"/>
  </r>
  <r>
    <d v="2025-06-14T00:00:00"/>
    <x v="0"/>
    <s v="BIEDRONKA"/>
    <s v="PL"/>
    <n v="256.20999999999998"/>
    <x v="2"/>
  </r>
  <r>
    <d v="2025-06-14T00:00:00"/>
    <x v="0"/>
    <s v="EVEREST NEPAL SPOLKA"/>
    <s v="PL"/>
    <n v="101"/>
    <x v="5"/>
  </r>
  <r>
    <d v="2025-06-14T00:00:00"/>
    <x v="0"/>
    <s v="ZABKA"/>
    <s v="PL"/>
    <n v="6.6"/>
    <x v="2"/>
  </r>
  <r>
    <d v="2025-06-15T00:00:00"/>
    <x v="0"/>
    <s v="BOLT"/>
    <s v="EE"/>
    <n v="32.25"/>
    <x v="6"/>
  </r>
  <r>
    <d v="2025-06-15T00:00:00"/>
    <x v="0"/>
    <s v="PAINTBALL"/>
    <s v="PL"/>
    <n v="16"/>
    <x v="3"/>
  </r>
  <r>
    <d v="2025-06-15T00:00:00"/>
    <x v="0"/>
    <s v="ZABKA"/>
    <s v="PL"/>
    <n v="4.4000000000000004"/>
    <x v="2"/>
  </r>
  <r>
    <d v="2025-06-16T00:00:00"/>
    <x v="0"/>
    <s v="POLSKIE TRUSKAWKI"/>
    <s v="PL"/>
    <n v="48"/>
    <x v="2"/>
  </r>
  <r>
    <d v="2025-06-16T00:00:00"/>
    <x v="0"/>
    <s v="LIDL"/>
    <s v="PL"/>
    <n v="90.78"/>
    <x v="2"/>
  </r>
  <r>
    <d v="2025-06-16T00:00:00"/>
    <x v="0"/>
    <s v="jakdojade.pl Poznan"/>
    <s v="PL"/>
    <n v="25"/>
    <x v="6"/>
  </r>
  <r>
    <d v="2025-06-17T00:00:00"/>
    <x v="0"/>
    <s v="BIEDRONKA"/>
    <s v="PL"/>
    <n v="196.39"/>
    <x v="2"/>
  </r>
  <r>
    <d v="2025-06-18T00:00:00"/>
    <x v="0"/>
    <s v="POLSKIE TRUSKAWKI"/>
    <s v="PL"/>
    <n v="12"/>
    <x v="2"/>
  </r>
  <r>
    <d v="2025-06-18T00:00:00"/>
    <x v="0"/>
    <s v="franco&amp;Polo team"/>
    <s v="PL"/>
    <n v="42.64"/>
    <x v="0"/>
  </r>
  <r>
    <d v="2025-06-18T00:00:00"/>
    <x v="0"/>
    <s v="GRUZINSKA PIEKARNIA"/>
    <s v="PL"/>
    <n v="8.5"/>
    <x v="4"/>
  </r>
  <r>
    <d v="2025-06-18T00:00:00"/>
    <x v="0"/>
    <s v="AUCHAN"/>
    <s v="PL"/>
    <n v="52.63"/>
    <x v="2"/>
  </r>
  <r>
    <d v="2025-06-18T00:00:00"/>
    <x v="0"/>
    <s v="BIEDRONKA"/>
    <s v="PL"/>
    <n v="59.82"/>
    <x v="2"/>
  </r>
  <r>
    <d v="2025-06-19T00:00:00"/>
    <x v="0"/>
    <s v="jakdojade.pl Poznan"/>
    <s v="PL"/>
    <n v="20"/>
    <x v="6"/>
  </r>
  <r>
    <d v="2025-06-19T00:00:00"/>
    <x v="0"/>
    <s v="jakdojade.pl Poznan"/>
    <s v="PL"/>
    <n v="25"/>
    <x v="6"/>
  </r>
  <r>
    <d v="2025-06-19T00:00:00"/>
    <x v="0"/>
    <s v="RYANAIR U"/>
    <s v="IE"/>
    <n v="574.58000000000004"/>
    <x v="6"/>
  </r>
  <r>
    <d v="2025-06-19T00:00:00"/>
    <x v="0"/>
    <s v="BOLT"/>
    <s v="EE"/>
    <n v="37.1"/>
    <x v="6"/>
  </r>
  <r>
    <d v="2025-06-19T00:00:00"/>
    <x v="0"/>
    <s v="BUBBLEJOY"/>
    <s v="PL"/>
    <n v="26.9"/>
    <x v="3"/>
  </r>
  <r>
    <d v="2025-06-19T00:00:00"/>
    <x v="0"/>
    <s v="ZABKA"/>
    <s v="PL"/>
    <n v="9.9"/>
    <x v="2"/>
  </r>
  <r>
    <d v="2025-06-20T00:00:00"/>
    <x v="0"/>
    <s v="EMIGRANT SPECIALTY CO"/>
    <s v="PL"/>
    <n v="24.3"/>
    <x v="4"/>
  </r>
  <r>
    <d v="2025-06-20T00:00:00"/>
    <x v="0"/>
    <s v="OKAIDI"/>
    <s v="PL"/>
    <n v="206.16"/>
    <x v="0"/>
  </r>
  <r>
    <d v="2025-06-20T00:00:00"/>
    <x v="0"/>
    <s v="FIVE O CLOCK"/>
    <s v="PL"/>
    <n v="102.2"/>
    <x v="7"/>
  </r>
  <r>
    <d v="2025-06-20T00:00:00"/>
    <x v="0"/>
    <s v="MCDONALDS"/>
    <s v="PL"/>
    <n v="11.9"/>
    <x v="5"/>
  </r>
  <r>
    <d v="2025-06-20T00:00:00"/>
    <x v="0"/>
    <s v="DECATHLON "/>
    <s v="PL"/>
    <n v="304.94"/>
    <x v="3"/>
  </r>
  <r>
    <d v="2025-06-20T00:00:00"/>
    <x v="0"/>
    <s v="BUBBLEJOY"/>
    <s v="PL"/>
    <n v="27.8"/>
    <x v="3"/>
  </r>
  <r>
    <d v="2025-06-20T00:00:00"/>
    <x v="0"/>
    <s v="MPK"/>
    <s v="PL"/>
    <n v="12"/>
    <x v="6"/>
  </r>
  <r>
    <d v="2025-06-20T00:00:00"/>
    <x v="0"/>
    <s v="BIEDRONKA"/>
    <s v="PL"/>
    <n v="28.19"/>
    <x v="2"/>
  </r>
  <r>
    <d v="2025-06-20T00:00:00"/>
    <x v="0"/>
    <s v="THE MADRAS SP Z O O"/>
    <s v="PL"/>
    <n v="130.5"/>
    <x v="5"/>
  </r>
  <r>
    <d v="2025-06-20T00:00:00"/>
    <x v="0"/>
    <s v="AVENTURA POR MEXICO"/>
    <s v="PL"/>
    <n v="56"/>
    <x v="3"/>
  </r>
  <r>
    <d v="2025-06-21T00:00:00"/>
    <x v="0"/>
    <s v="POLSKIE TRUSKAWKI"/>
    <s v="PL"/>
    <n v="12"/>
    <x v="2"/>
  </r>
  <r>
    <d v="2025-06-21T00:00:00"/>
    <x v="0"/>
    <s v="jakdojade.pl Poznan"/>
    <s v="PL"/>
    <n v="20"/>
    <x v="6"/>
  </r>
  <r>
    <d v="2025-06-21T00:00:00"/>
    <x v="0"/>
    <s v="ACTION"/>
    <s v="PL"/>
    <n v="61.75"/>
    <x v="7"/>
  </r>
  <r>
    <d v="2025-06-21T00:00:00"/>
    <x v="0"/>
    <s v="BUBBLEJOY"/>
    <s v="PL"/>
    <n v="26.9"/>
    <x v="3"/>
  </r>
  <r>
    <d v="2025-06-21T00:00:00"/>
    <x v="0"/>
    <s v="KUKU TAIWAN BISTRO"/>
    <s v="PL"/>
    <n v="25"/>
    <x v="5"/>
  </r>
  <r>
    <d v="2025-06-21T00:00:00"/>
    <x v="0"/>
    <s v="BIEDRONKA"/>
    <s v="PL"/>
    <n v="228.67"/>
    <x v="2"/>
  </r>
  <r>
    <d v="2025-06-21T00:00:00"/>
    <x v="0"/>
    <s v="POCO LOCO"/>
    <s v="PL"/>
    <n v="37"/>
    <x v="5"/>
  </r>
  <r>
    <d v="2025-06-21T00:00:00"/>
    <x v="0"/>
    <s v="ZABKA"/>
    <s v="PL"/>
    <n v="4.99"/>
    <x v="2"/>
  </r>
  <r>
    <d v="2025-06-22T00:00:00"/>
    <x v="0"/>
    <s v="MECH CAFE"/>
    <s v="PL"/>
    <n v="43"/>
    <x v="4"/>
  </r>
  <r>
    <d v="2025-06-22T00:00:00"/>
    <x v="0"/>
    <s v="www.bilet.intercity.pl Warszawa"/>
    <s v="PL"/>
    <n v="142"/>
    <x v="6"/>
  </r>
  <r>
    <d v="2025-06-22T00:00:00"/>
    <x v="0"/>
    <s v="www.bilet.intercity.pl Warszawa"/>
    <s v="PL"/>
    <n v="245.7"/>
    <x v="6"/>
  </r>
  <r>
    <d v="2025-06-22T00:00:00"/>
    <x v="0"/>
    <s v="BOLT"/>
    <s v="EE"/>
    <n v="59.5"/>
    <x v="6"/>
  </r>
  <r>
    <d v="2025-06-22T00:00:00"/>
    <x v="0"/>
    <s v="ZABKA"/>
    <s v="PL"/>
    <n v="30.79"/>
    <x v="2"/>
  </r>
  <r>
    <d v="2025-06-23T00:00:00"/>
    <x v="0"/>
    <s v="gemini.pl Gdansk"/>
    <s v="PL"/>
    <n v="149.03"/>
    <x v="6"/>
  </r>
  <r>
    <d v="2025-06-23T00:00:00"/>
    <x v="0"/>
    <s v="Super­Pharm "/>
    <s v="PL"/>
    <n v="101.96"/>
    <x v="3"/>
  </r>
  <r>
    <d v="2025-06-23T00:00:00"/>
    <x v="0"/>
    <s v="BOLT"/>
    <s v="EE"/>
    <n v="60"/>
    <x v="6"/>
  </r>
  <r>
    <d v="2025-06-23T00:00:00"/>
    <x v="0"/>
    <s v="ZABKA"/>
    <s v="PL"/>
    <n v="10.99"/>
    <x v="2"/>
  </r>
  <r>
    <d v="2025-06-24T00:00:00"/>
    <x v="0"/>
    <s v="jakdojade.pl Poznan"/>
    <s v="PL"/>
    <n v="20"/>
    <x v="6"/>
  </r>
  <r>
    <d v="2025-06-24T00:00:00"/>
    <x v="0"/>
    <s v="ZABKA"/>
    <s v="PL"/>
    <n v="14.3"/>
    <x v="2"/>
  </r>
  <r>
    <d v="2025-06-25T00:00:00"/>
    <x v="0"/>
    <s v="BOLT"/>
    <s v="EE"/>
    <n v="33.75"/>
    <x v="6"/>
  </r>
  <r>
    <d v="2025-06-25T00:00:00"/>
    <x v="0"/>
    <s v="BIEDRONKA"/>
    <s v="PL"/>
    <n v="150.28"/>
    <x v="2"/>
  </r>
  <r>
    <d v="2025-06-26T00:00:00"/>
    <x v="0"/>
    <s v="jakdojade.pl Poznan"/>
    <s v="PL"/>
    <n v="20"/>
    <x v="6"/>
  </r>
  <r>
    <d v="2025-06-26T00:00:00"/>
    <x v="0"/>
    <s v="ZABKA"/>
    <s v="PL"/>
    <n v="9.9"/>
    <x v="2"/>
  </r>
  <r>
    <d v="2025-06-27T00:00:00"/>
    <x v="0"/>
    <s v="Franco&amp;Polo team"/>
    <s v="PL"/>
    <n v="24"/>
    <x v="0"/>
  </r>
  <r>
    <d v="2025-06-27T00:00:00"/>
    <x v="0"/>
    <s v="REKOCZYNY CAFE &amp; BAK"/>
    <s v="PL"/>
    <n v="46.14"/>
    <x v="4"/>
  </r>
  <r>
    <d v="2025-06-27T00:00:00"/>
    <x v="0"/>
    <s v="jakdojade.pl Poznan"/>
    <s v="PL"/>
    <n v="25"/>
    <x v="6"/>
  </r>
  <r>
    <d v="2025-06-27T00:00:00"/>
    <x v="0"/>
    <s v="BIEDRONKA"/>
    <s v="PL"/>
    <n v="31.97"/>
    <x v="2"/>
  </r>
  <r>
    <d v="2025-06-27T00:00:00"/>
    <x v="0"/>
    <s v="ZABKA"/>
    <s v="PL"/>
    <n v="3.99"/>
    <x v="2"/>
  </r>
  <r>
    <d v="2025-06-28T00:00:00"/>
    <x v="0"/>
    <s v="C &amp; A"/>
    <s v="PL"/>
    <n v="129.97999999999999"/>
    <x v="0"/>
  </r>
  <r>
    <d v="2025-06-28T00:00:00"/>
    <x v="0"/>
    <s v="LITTLE INDIA"/>
    <s v="PL"/>
    <n v="61"/>
    <x v="3"/>
  </r>
  <r>
    <d v="2025-06-28T00:00:00"/>
    <x v="0"/>
    <s v="KFC "/>
    <s v="PL"/>
    <n v="9.99"/>
    <x v="5"/>
  </r>
  <r>
    <d v="2025-06-28T00:00:00"/>
    <x v="0"/>
    <s v="jakdojade.pl Poznan"/>
    <s v="PL"/>
    <n v="20"/>
    <x v="6"/>
  </r>
  <r>
    <d v="2025-06-28T00:00:00"/>
    <x v="0"/>
    <s v="BOLT"/>
    <s v="EE"/>
    <n v="27.3"/>
    <x v="6"/>
  </r>
  <r>
    <d v="2025-06-28T00:00:00"/>
    <x v="0"/>
    <s v="INDIA STORE"/>
    <s v="PL"/>
    <n v="21.35"/>
    <x v="2"/>
  </r>
  <r>
    <d v="2025-06-28T00:00:00"/>
    <x v="0"/>
    <s v="BUBBLEJOY"/>
    <s v="PL"/>
    <n v="28.8"/>
    <x v="3"/>
  </r>
  <r>
    <d v="2025-06-28T00:00:00"/>
    <x v="0"/>
    <s v="BIEDRONKA"/>
    <s v="PL"/>
    <n v="227.4"/>
    <x v="2"/>
  </r>
  <r>
    <d v="2025-06-28T00:00:00"/>
    <x v="0"/>
    <s v="THE MADRAS SP Z O O"/>
    <s v="PL"/>
    <n v="99"/>
    <x v="5"/>
  </r>
  <r>
    <d v="2025-06-28T00:00:00"/>
    <x v="0"/>
    <s v="PRACOWNIA CUKIERNICZA"/>
    <s v="PL"/>
    <n v="7"/>
    <x v="4"/>
  </r>
  <r>
    <d v="2025-06-28T00:00:00"/>
    <x v="0"/>
    <s v="POCO LOCO"/>
    <s v="PL"/>
    <n v="37"/>
    <x v="5"/>
  </r>
  <r>
    <d v="2025-06-28T00:00:00"/>
    <x v="0"/>
    <s v="ZABKA"/>
    <s v="PL"/>
    <n v="23.57"/>
    <x v="2"/>
  </r>
  <r>
    <d v="2025-06-28T00:00:00"/>
    <x v="0"/>
    <s v="ZABKA"/>
    <s v="PL"/>
    <n v="4.4000000000000004"/>
    <x v="2"/>
  </r>
  <r>
    <d v="2025-06-29T00:00:00"/>
    <x v="0"/>
    <s v="FIVE O CLOCK"/>
    <s v="PL"/>
    <n v="35"/>
    <x v="7"/>
  </r>
  <r>
    <d v="2025-06-29T00:00:00"/>
    <x v="0"/>
    <s v="MOUNTAIN WAREHOUSE Warszawa"/>
    <s v="PL"/>
    <n v="25"/>
    <x v="7"/>
  </r>
  <r>
    <d v="2025-06-29T00:00:00"/>
    <x v="0"/>
    <s v="Uslugi Gastronomiczne Warszawa"/>
    <s v="PL"/>
    <n v="21.31"/>
    <x v="5"/>
  </r>
  <r>
    <d v="2025-06-29T00:00:00"/>
    <x v="0"/>
    <s v="MCDONALDS"/>
    <s v="PL"/>
    <n v="13.6"/>
    <x v="5"/>
  </r>
  <r>
    <d v="2025-06-29T00:00:00"/>
    <x v="0"/>
    <s v="LITTLE INDIA"/>
    <s v="PL"/>
    <n v="30"/>
    <x v="3"/>
  </r>
  <r>
    <d v="2025-06-29T00:00:00"/>
    <x v="0"/>
    <s v="SMYK SPOLKA AKCYJNA"/>
    <s v="PL"/>
    <n v="118"/>
    <x v="0"/>
  </r>
  <r>
    <d v="2025-06-29T00:00:00"/>
    <x v="0"/>
    <s v="LAHORE RESTAURANT WARSZAWA"/>
    <s v="PL"/>
    <n v="53"/>
    <x v="5"/>
  </r>
  <r>
    <d v="2025-06-29T00:00:00"/>
    <x v="0"/>
    <s v="ME M"/>
    <s v="PL"/>
    <n v="219.99"/>
    <x v="0"/>
  </r>
  <r>
    <d v="2025-06-29T00:00:00"/>
    <x v="0"/>
    <s v="jakdojade.pl Poznan"/>
    <s v="PL"/>
    <n v="20"/>
    <x v="6"/>
  </r>
  <r>
    <d v="2025-06-29T00:00:00"/>
    <x v="0"/>
    <s v="PHZ BALTONA C"/>
    <s v="PL"/>
    <n v="22.05"/>
    <x v="3"/>
  </r>
  <r>
    <d v="2025-06-29T00:00:00"/>
    <x v="0"/>
    <s v="LPP RESERVED"/>
    <s v="PL"/>
    <n v="29.99"/>
    <x v="0"/>
  </r>
  <r>
    <d v="2025-06-29T00:00:00"/>
    <x v="0"/>
    <s v="LITTLE INDIA"/>
    <s v="PL"/>
    <n v="14.2"/>
    <x v="3"/>
  </r>
  <r>
    <d v="2025-06-29T00:00:00"/>
    <x v="0"/>
    <s v="SALON STUDIO.ME WARSZAWA"/>
    <s v="PL"/>
    <n v="50"/>
    <x v="7"/>
  </r>
  <r>
    <d v="2025-06-29T00:00:00"/>
    <x v="0"/>
    <s v="CURRY LEAVES WARSZAWA"/>
    <s v="PL"/>
    <n v="45"/>
    <x v="5"/>
  </r>
  <r>
    <d v="2025-06-29T00:00:00"/>
    <x v="0"/>
    <s v="MAJA DO HOANG VAN DO Warszawa"/>
    <s v="PL"/>
    <n v="21"/>
    <x v="3"/>
  </r>
  <r>
    <d v="2025-06-29T00:00:00"/>
    <x v="0"/>
    <s v="WARS ANNA YANUSHEVYCH WARSZAWA"/>
    <s v="PL"/>
    <n v="25"/>
    <x v="5"/>
  </r>
  <r>
    <d v="2025-07-01T00:00:00"/>
    <x v="1"/>
    <s v="AUCHAN"/>
    <s v="PL"/>
    <n v="7.76"/>
    <x v="2"/>
  </r>
  <r>
    <d v="2025-07-01T00:00:00"/>
    <x v="1"/>
    <s v="Super­Pharm "/>
    <s v="PL"/>
    <n v="36.99"/>
    <x v="3"/>
  </r>
  <r>
    <d v="2025-07-01T00:00:00"/>
    <x v="1"/>
    <s v="jakdojade.pl Poznan"/>
    <s v="PL"/>
    <n v="20"/>
    <x v="6"/>
  </r>
  <r>
    <d v="2025-07-01T00:00:00"/>
    <x v="1"/>
    <s v="ORANGE FLEX WARSZAWA"/>
    <s v="PL"/>
    <n v="35"/>
    <x v="8"/>
  </r>
  <r>
    <d v="2025-07-01T00:00:00"/>
    <x v="1"/>
    <s v="ZABKA"/>
    <s v="PL"/>
    <n v="32.89"/>
    <x v="2"/>
  </r>
  <r>
    <d v="2025-07-02T00:00:00"/>
    <x v="1"/>
    <s v="KFC "/>
    <s v="PL"/>
    <n v="6.99"/>
    <x v="5"/>
  </r>
  <r>
    <d v="2025-07-02T00:00:00"/>
    <x v="1"/>
    <s v="AUCHAN"/>
    <s v="PL"/>
    <n v="4.1900000000000004"/>
    <x v="2"/>
  </r>
  <r>
    <d v="2025-07-02T00:00:00"/>
    <x v="1"/>
    <s v="NORTH FISH GALERIA BON"/>
    <s v="PL"/>
    <n v="19.25"/>
    <x v="5"/>
  </r>
  <r>
    <d v="2025-07-02T00:00:00"/>
    <x v="1"/>
    <s v="DM­DROGERIE MAR"/>
    <s v="PL"/>
    <n v="1.25"/>
    <x v="7"/>
  </r>
  <r>
    <d v="2025-07-02T00:00:00"/>
    <x v="1"/>
    <s v="jakdojade.pl Poznan"/>
    <s v="PL"/>
    <n v="25"/>
    <x v="6"/>
  </r>
  <r>
    <d v="2025-07-02T00:00:00"/>
    <x v="1"/>
    <s v="jakdojade.pl Poznan"/>
    <s v="PL"/>
    <n v="20"/>
    <x v="6"/>
  </r>
  <r>
    <d v="2025-07-02T00:00:00"/>
    <x v="1"/>
    <s v="STOKROTKA NR"/>
    <s v="PL"/>
    <n v="13.34"/>
    <x v="2"/>
  </r>
  <r>
    <d v="2025-07-02T00:00:00"/>
    <x v="1"/>
    <s v="BIEDRONKA"/>
    <s v="PL"/>
    <n v="172.29"/>
    <x v="2"/>
  </r>
  <r>
    <d v="2025-07-02T00:00:00"/>
    <x v="1"/>
    <s v="FOTOEXPRESS WARSZAWA WARSZAWA"/>
    <s v="PL"/>
    <n v="55"/>
    <x v="8"/>
  </r>
  <r>
    <d v="2025-07-03T00:00:00"/>
    <x v="1"/>
    <s v="REKOCZYNY CAFE &amp; BAK"/>
    <s v="PL"/>
    <n v="8"/>
    <x v="4"/>
  </r>
  <r>
    <d v="2025-07-03T00:00:00"/>
    <x v="1"/>
    <s v="BIEDRONKA"/>
    <s v="PL"/>
    <n v="16.559999999999999"/>
    <x v="2"/>
  </r>
  <r>
    <d v="2025-07-05T00:00:00"/>
    <x v="1"/>
    <s v="LIDL"/>
    <s v="PL"/>
    <n v="36.75"/>
    <x v="2"/>
  </r>
  <r>
    <d v="2025-07-05T00:00:00"/>
    <x v="1"/>
    <s v="PEPCO"/>
    <s v="PL"/>
    <n v="52"/>
    <x v="0"/>
  </r>
  <r>
    <d v="2025-07-05T00:00:00"/>
    <x v="1"/>
    <s v="BIEDRONKA"/>
    <s v="PL"/>
    <n v="246.86"/>
    <x v="2"/>
  </r>
  <r>
    <d v="2025-07-05T00:00:00"/>
    <x v="1"/>
    <s v="JYSK SP. Z O.O."/>
    <s v="PL"/>
    <n v="15"/>
    <x v="7"/>
  </r>
  <r>
    <d v="2025-07-05T00:00:00"/>
    <x v="1"/>
    <s v="TEDI"/>
    <s v="PL"/>
    <n v="44"/>
    <x v="7"/>
  </r>
  <r>
    <d v="2025-07-05T00:00:00"/>
    <x v="1"/>
    <s v="ZABKA"/>
    <s v="PL"/>
    <n v="7.99"/>
    <x v="2"/>
  </r>
  <r>
    <d v="2025-07-06T00:00:00"/>
    <x v="1"/>
    <s v="Super­Pharm "/>
    <s v="PL"/>
    <n v="124.95"/>
    <x v="3"/>
  </r>
  <r>
    <d v="2025-07-07T00:00:00"/>
    <x v="1"/>
    <s v="IKEA"/>
    <s v="BLIK"/>
    <n v="119.95"/>
    <x v="7"/>
  </r>
  <r>
    <d v="2025-07-07T00:00:00"/>
    <x v="1"/>
    <s v="PŁATNOŚĆ BLIK"/>
    <s v="BLIK"/>
    <n v="15.43"/>
    <x v="6"/>
  </r>
  <r>
    <d v="2025-07-07T00:00:00"/>
    <x v="1"/>
    <s v="Habibi Restauracja"/>
    <s v="PL"/>
    <n v="42"/>
    <x v="5"/>
  </r>
  <r>
    <d v="2025-07-07T00:00:00"/>
    <x v="1"/>
    <s v="AUCHAN"/>
    <s v="PL"/>
    <n v="30.07"/>
    <x v="2"/>
  </r>
  <r>
    <d v="2025-07-07T00:00:00"/>
    <x v="1"/>
    <s v="jakdojade.pl Poznan"/>
    <s v="PL"/>
    <n v="20"/>
    <x v="6"/>
  </r>
  <r>
    <d v="2025-07-08T00:00:00"/>
    <x v="1"/>
    <s v="OPŁ. ZA WYD. I OBSŁ. KARTY PŁAT."/>
    <s v="PL"/>
    <n v="12"/>
    <x v="3"/>
  </r>
  <r>
    <d v="2025-07-08T00:00:00"/>
    <x v="1"/>
    <s v="aliexpress Luxembourg"/>
    <s v="LU"/>
    <n v="141.97"/>
    <x v="1"/>
  </r>
  <r>
    <d v="2025-07-09T00:00:00"/>
    <x v="1"/>
    <s v="DM­DROGERIE MAR"/>
    <s v="PL"/>
    <n v="56.8"/>
    <x v="7"/>
  </r>
  <r>
    <d v="2025-07-09T00:00:00"/>
    <x v="1"/>
    <s v="BIEDRONKA"/>
    <s v="PL"/>
    <n v="198.1"/>
    <x v="2"/>
  </r>
  <r>
    <d v="2025-07-10T00:00:00"/>
    <x v="1"/>
    <s v="LIDL"/>
    <s v="PL"/>
    <n v="177.98"/>
    <x v="2"/>
  </r>
  <r>
    <d v="2025-07-10T00:00:00"/>
    <x v="1"/>
    <s v="NORTH FISH"/>
    <s v="PL"/>
    <n v="19.25"/>
    <x v="5"/>
  </r>
  <r>
    <d v="2025-07-10T00:00:00"/>
    <x v="1"/>
    <s v="jakdojade.pl Poznan"/>
    <s v="PL"/>
    <n v="20"/>
    <x v="6"/>
  </r>
  <r>
    <d v="2025-07-10T00:00:00"/>
    <x v="1"/>
    <s v="aliexpress Luxembourg"/>
    <s v="LU"/>
    <n v="133.16999999999999"/>
    <x v="1"/>
  </r>
  <r>
    <d v="2025-07-12T00:00:00"/>
    <x v="1"/>
    <s v="FIVE O CLOCK"/>
    <s v="PL"/>
    <n v="114.5"/>
    <x v="7"/>
  </r>
  <r>
    <d v="2025-07-12T00:00:00"/>
    <x v="1"/>
    <s v="C &amp; A"/>
    <s v="PL"/>
    <n v="137.97"/>
    <x v="0"/>
  </r>
  <r>
    <d v="2025-07-12T00:00:00"/>
    <x v="1"/>
    <s v="LIDL"/>
    <s v="PL"/>
    <n v="217.69"/>
    <x v="2"/>
  </r>
  <r>
    <d v="2025-07-12T00:00:00"/>
    <x v="1"/>
    <s v="LITTLE INDIA"/>
    <s v="PL"/>
    <n v="124.75"/>
    <x v="3"/>
  </r>
  <r>
    <d v="2025-07-12T00:00:00"/>
    <x v="1"/>
    <s v="NORTH FISH"/>
    <s v="PL"/>
    <n v="16.260000000000002"/>
    <x v="5"/>
  </r>
  <r>
    <d v="2025-07-12T00:00:00"/>
    <x v="1"/>
    <s v="jakdojade.pl Poznan"/>
    <s v="PL"/>
    <n v="20"/>
    <x v="6"/>
  </r>
  <r>
    <d v="2025-07-12T00:00:00"/>
    <x v="1"/>
    <s v="BUBBLEJOY"/>
    <s v="PL"/>
    <n v="36.75"/>
    <x v="3"/>
  </r>
  <r>
    <d v="2025-07-12T00:00:00"/>
    <x v="1"/>
    <s v="HEBE"/>
    <s v="PL"/>
    <n v="10.99"/>
    <x v="7"/>
  </r>
  <r>
    <d v="2025-07-12T00:00:00"/>
    <x v="1"/>
    <s v="HEBE"/>
    <s v="PL"/>
    <n v="4.99"/>
    <x v="7"/>
  </r>
  <r>
    <d v="2025-07-12T00:00:00"/>
    <x v="1"/>
    <s v="POCO LOCO"/>
    <s v="PL"/>
    <n v="37"/>
    <x v="5"/>
  </r>
  <r>
    <d v="2025-07-14T00:00:00"/>
    <x v="1"/>
    <s v="DM­DROGERIE MAR"/>
    <s v="PL"/>
    <n v="132.15"/>
    <x v="7"/>
  </r>
  <r>
    <d v="2025-07-14T00:00:00"/>
    <x v="1"/>
    <s v="BIEDRONKA"/>
    <s v="PL"/>
    <n v="64.3"/>
    <x v="2"/>
  </r>
  <r>
    <d v="2025-07-16T00:00:00"/>
    <x v="1"/>
    <s v="KFC "/>
    <s v="PL"/>
    <n v="19.989999999999998"/>
    <x v="5"/>
  </r>
  <r>
    <d v="2025-07-16T00:00:00"/>
    <x v="1"/>
    <s v="KFC "/>
    <s v="PL"/>
    <n v="5"/>
    <x v="5"/>
  </r>
  <r>
    <d v="2025-07-16T00:00:00"/>
    <x v="1"/>
    <s v="BIEDRONKA"/>
    <s v="PL"/>
    <n v="328.28"/>
    <x v="2"/>
  </r>
  <r>
    <d v="2025-07-17T00:00:00"/>
    <x v="1"/>
    <s v="DM­DROGERIE MAR"/>
    <s v="PL"/>
    <n v="36.9"/>
    <x v="7"/>
  </r>
  <r>
    <d v="2025-07-17T00:00:00"/>
    <x v="1"/>
    <s v="ACTION"/>
    <s v="PL"/>
    <n v="87.62"/>
    <x v="7"/>
  </r>
  <r>
    <d v="2025-07-17T00:00:00"/>
    <x v="1"/>
    <s v="BIEDRONKA"/>
    <s v="PL"/>
    <n v="15.99"/>
    <x v="2"/>
  </r>
  <r>
    <d v="2025-07-18T00:00:00"/>
    <x v="1"/>
    <s v="Franco&amp;Polo team"/>
    <s v="PL"/>
    <n v="5.34"/>
    <x v="0"/>
  </r>
  <r>
    <d v="2025-07-19T00:00:00"/>
    <x v="1"/>
    <s v="LIDL"/>
    <s v="PL"/>
    <n v="241.93"/>
    <x v="2"/>
  </r>
  <r>
    <d v="2025-07-19T00:00:00"/>
    <x v="1"/>
    <s v="LIDL"/>
    <s v="PL"/>
    <n v="52.97"/>
    <x v="2"/>
  </r>
  <r>
    <d v="2025-07-19T00:00:00"/>
    <x v="1"/>
    <s v="APPLE SUBSCRIPTIONS BILL"/>
    <s v="PL"/>
    <n v="469.99"/>
    <x v="3"/>
  </r>
  <r>
    <d v="2025-07-19T00:00:00"/>
    <x v="1"/>
    <s v="BIEDRONKA"/>
    <s v="PL"/>
    <n v="16.97"/>
    <x v="2"/>
  </r>
  <r>
    <d v="2025-07-20T00:00:00"/>
    <x v="1"/>
    <s v="jakdojade.pl Poznan"/>
    <s v="PL"/>
    <n v="20"/>
    <x v="6"/>
  </r>
  <r>
    <d v="2025-07-20T00:00:00"/>
    <x v="1"/>
    <s v="BUBBLEJOY"/>
    <s v="PL"/>
    <n v="24.9"/>
    <x v="3"/>
  </r>
  <r>
    <d v="2025-07-21T00:00:00"/>
    <x v="1"/>
    <s v="BIEDRONKA"/>
    <s v="PL"/>
    <n v="49.69"/>
    <x v="2"/>
  </r>
  <r>
    <d v="2025-07-21T00:00:00"/>
    <x v="1"/>
    <s v="PRO*LITTLEINDIA.PL WARSZAWA"/>
    <s v="PL"/>
    <n v="193"/>
    <x v="3"/>
  </r>
  <r>
    <d v="2025-07-22T00:00:00"/>
    <x v="1"/>
    <s v="jakdojade.pl Poznan"/>
    <s v="PL"/>
    <n v="20"/>
    <x v="6"/>
  </r>
  <r>
    <d v="2025-07-22T00:00:00"/>
    <x v="1"/>
    <s v="BIEDRONKA"/>
    <s v="PL"/>
    <n v="15.53"/>
    <x v="2"/>
  </r>
  <r>
    <d v="2025-07-22T00:00:00"/>
    <x v="1"/>
    <s v="ZABKA"/>
    <s v="PL"/>
    <n v="2.99"/>
    <x v="2"/>
  </r>
  <r>
    <d v="2025-07-23T00:00:00"/>
    <x v="1"/>
    <s v="LITTLE INDIA"/>
    <s v="PL"/>
    <n v="42"/>
    <x v="3"/>
  </r>
  <r>
    <d v="2025-07-23T00:00:00"/>
    <x v="1"/>
    <s v="jakdojade.pl Poznan"/>
    <s v="PL"/>
    <n v="25"/>
    <x v="6"/>
  </r>
  <r>
    <d v="2025-07-23T00:00:00"/>
    <x v="1"/>
    <s v="GORACO POLECAM"/>
    <s v="PL"/>
    <n v="10.95"/>
    <x v="3"/>
  </r>
  <r>
    <d v="2025-07-23T00:00:00"/>
    <x v="1"/>
    <s v="BIEDRONKA"/>
    <s v="PL"/>
    <n v="250.89"/>
    <x v="2"/>
  </r>
  <r>
    <d v="2025-07-23T00:00:00"/>
    <x v="1"/>
    <s v="THE MADRAS SP Z O O"/>
    <s v="PL"/>
    <n v="37"/>
    <x v="5"/>
  </r>
  <r>
    <d v="2025-07-23T00:00:00"/>
    <x v="1"/>
    <s v="ZABKA"/>
    <s v="PL"/>
    <n v="1.6"/>
    <x v="2"/>
  </r>
  <r>
    <d v="2025-07-24T00:00:00"/>
    <x v="1"/>
    <s v="LIDL"/>
    <s v="PL"/>
    <n v="64.84"/>
    <x v="2"/>
  </r>
  <r>
    <d v="2025-07-24T00:00:00"/>
    <x v="1"/>
    <s v="Allegro Poznan"/>
    <s v="PL"/>
    <n v="102.86"/>
    <x v="1"/>
  </r>
  <r>
    <d v="2025-07-25T00:00:00"/>
    <x v="1"/>
    <s v="KFC "/>
    <s v="PL"/>
    <n v="6.99"/>
    <x v="5"/>
  </r>
  <r>
    <d v="2025-07-26T00:00:00"/>
    <x v="1"/>
    <s v="COSTA COFFEE"/>
    <s v="PL"/>
    <n v="25.25"/>
    <x v="4"/>
  </r>
  <r>
    <d v="2025-07-26T00:00:00"/>
    <x v="1"/>
    <s v="GRUZINSKA PIEKARNIA"/>
    <s v="PL"/>
    <n v="7.5"/>
    <x v="4"/>
  </r>
  <r>
    <d v="2025-07-26T00:00:00"/>
    <x v="1"/>
    <s v="AUCHAN"/>
    <s v="PL"/>
    <n v="110.07"/>
    <x v="2"/>
  </r>
  <r>
    <d v="2025-07-26T00:00:00"/>
    <x v="1"/>
    <s v="jakdojade.pl Poznan"/>
    <s v="PL"/>
    <n v="30"/>
    <x v="6"/>
  </r>
  <r>
    <d v="2025-07-26T00:00:00"/>
    <x v="1"/>
    <s v="LPP MOHITO"/>
    <s v="PL"/>
    <n v="49.99"/>
    <x v="0"/>
  </r>
  <r>
    <d v="2025-07-26T00:00:00"/>
    <x v="1"/>
    <s v="LPP RESERVED"/>
    <s v="PL"/>
    <n v="25.99"/>
    <x v="0"/>
  </r>
  <r>
    <d v="2025-07-26T00:00:00"/>
    <x v="1"/>
    <s v="BIEDRONKA"/>
    <s v="PL"/>
    <n v="226.62"/>
    <x v="2"/>
  </r>
  <r>
    <d v="2025-07-26T00:00:00"/>
    <x v="1"/>
    <s v="IKEA"/>
    <s v="PL"/>
    <n v="75.95"/>
    <x v="7"/>
  </r>
  <r>
    <d v="2025-07-26T00:00:00"/>
    <x v="1"/>
    <s v="IKEA"/>
    <s v="PL"/>
    <n v="47"/>
    <x v="7"/>
  </r>
  <r>
    <d v="2025-07-26T00:00:00"/>
    <x v="1"/>
    <s v="IKEA"/>
    <s v="PL"/>
    <n v="89"/>
    <x v="7"/>
  </r>
  <r>
    <d v="2025-07-26T00:00:00"/>
    <x v="1"/>
    <s v="ZABKA"/>
    <s v="PL"/>
    <n v="15.39"/>
    <x v="2"/>
  </r>
  <r>
    <d v="2025-07-28T00:00:00"/>
    <x v="1"/>
    <s v="PŁATNOŚĆ BLIK"/>
    <s v="BLIK"/>
    <n v="37"/>
    <x v="6"/>
  </r>
  <r>
    <d v="2025-07-28T00:00:00"/>
    <x v="1"/>
    <s v="F.H.U. MICHAL TRESTKA"/>
    <s v="PL"/>
    <n v="24"/>
    <x v="3"/>
  </r>
  <r>
    <d v="2025-07-28T00:00:00"/>
    <x v="1"/>
    <s v="AUCHAN"/>
    <s v="PL"/>
    <n v="25.56"/>
    <x v="2"/>
  </r>
  <r>
    <d v="2025-07-28T00:00:00"/>
    <x v="1"/>
    <s v="jakdojade.pl Poznan"/>
    <s v="PL"/>
    <n v="20"/>
    <x v="6"/>
  </r>
  <r>
    <d v="2025-07-28T00:00:00"/>
    <x v="1"/>
    <s v="www.bilet.intercity.pl Warszawa"/>
    <s v="PL"/>
    <n v="206.8"/>
    <x v="6"/>
  </r>
  <r>
    <d v="2025-07-28T00:00:00"/>
    <x v="1"/>
    <s v="www.bilet.intercity.pl Warszawa"/>
    <s v="PL"/>
    <n v="146"/>
    <x v="6"/>
  </r>
  <r>
    <d v="2025-07-28T00:00:00"/>
    <x v="1"/>
    <s v="AWITEKS"/>
    <s v="PL"/>
    <n v="7.19"/>
    <x v="4"/>
  </r>
  <r>
    <d v="2025-07-28T00:00:00"/>
    <x v="1"/>
    <s v="GORACO POLECAM"/>
    <s v="PL"/>
    <n v="15.95"/>
    <x v="3"/>
  </r>
  <r>
    <d v="2025-07-28T00:00:00"/>
    <x v="1"/>
    <s v="BIEDRONKA"/>
    <s v="PL"/>
    <n v="58.24"/>
    <x v="2"/>
  </r>
  <r>
    <d v="2025-07-29T00:00:00"/>
    <x v="1"/>
    <s v="AUCHAN"/>
    <s v="PL"/>
    <n v="19.59"/>
    <x v="2"/>
  </r>
  <r>
    <d v="2025-07-29T00:00:00"/>
    <x v="1"/>
    <s v="KFC "/>
    <s v="PL"/>
    <n v="6.99"/>
    <x v="5"/>
  </r>
  <r>
    <d v="2025-07-30T00:00:00"/>
    <x v="1"/>
    <s v="SMYK SPOLKA AKCYJNA"/>
    <s v="PL"/>
    <n v="89.99"/>
    <x v="0"/>
  </r>
  <r>
    <d v="2025-07-30T00:00:00"/>
    <x v="1"/>
    <s v="BIEDRONKA"/>
    <s v="PL"/>
    <n v="178.51"/>
    <x v="2"/>
  </r>
  <r>
    <d v="2025-08-02T00:00:00"/>
    <x v="2"/>
    <s v="SMYK SPOLKA AKCYJNA"/>
    <s v="PL"/>
    <n v="35"/>
    <x v="0"/>
  </r>
  <r>
    <d v="2025-08-02T00:00:00"/>
    <x v="2"/>
    <s v="BOLT"/>
    <s v="EE"/>
    <n v="34.4"/>
    <x v="6"/>
  </r>
  <r>
    <d v="2025-08-06T00:00:00"/>
    <x v="2"/>
    <s v="DM­DROGERIE MAR"/>
    <s v="PL"/>
    <n v="53.35"/>
    <x v="7"/>
  </r>
  <r>
    <d v="2025-08-07T00:00:00"/>
    <x v="2"/>
    <s v="BIEDRONKA"/>
    <s v="PL"/>
    <n v="58.91"/>
    <x v="2"/>
  </r>
  <r>
    <d v="2025-08-08T00:00:00"/>
    <x v="2"/>
    <s v="OPŁ. ZA WYD. I OBSŁ. KARTY PŁAT."/>
    <s v="PL"/>
    <n v="12"/>
    <x v="3"/>
  </r>
  <r>
    <d v="2025-08-10T00:00:00"/>
    <x v="2"/>
    <s v="MOBILIS SP. Z O.O."/>
    <s v="PL"/>
    <n v="8.8000000000000007"/>
    <x v="6"/>
  </r>
  <r>
    <d v="2025-08-10T00:00:00"/>
    <x v="2"/>
    <s v="jakdojade.pl Poznan"/>
    <s v="PL"/>
    <n v="20"/>
    <x v="6"/>
  </r>
  <r>
    <d v="2025-08-10T00:00:00"/>
    <x v="2"/>
    <s v="jakdojade.pl Poznan"/>
    <s v="PL"/>
    <n v="20"/>
    <x v="6"/>
  </r>
  <r>
    <d v="2025-08-10T00:00:00"/>
    <x v="2"/>
    <s v="STUDIO URODY ULTIMA WARSZAWA"/>
    <s v="PL"/>
    <n v="120"/>
    <x v="7"/>
  </r>
  <r>
    <d v="2025-08-10T00:00:00"/>
    <x v="2"/>
    <s v="STUDIO URODY ULTIMA WARSZAWA"/>
    <s v="PL"/>
    <n v="80"/>
    <x v="7"/>
  </r>
  <r>
    <d v="2025-08-10T00:00:00"/>
    <x v="2"/>
    <s v="BIEDRONKA"/>
    <s v="PL"/>
    <n v="24.06"/>
    <x v="2"/>
  </r>
  <r>
    <d v="2025-08-10T00:00:00"/>
    <x v="2"/>
    <s v="BIEDRONKA"/>
    <s v="PL"/>
    <n v="5.28"/>
    <x v="2"/>
  </r>
  <r>
    <d v="2025-08-10T00:00:00"/>
    <x v="2"/>
    <s v="MASALA CURRY GRILL WARSZAWA"/>
    <s v="PL"/>
    <n v="72"/>
    <x v="5"/>
  </r>
  <r>
    <d v="2025-08-11T00:00:00"/>
    <x v="2"/>
    <s v="TheBooks.pl Warszawa"/>
    <s v="PL"/>
    <n v="92"/>
    <x v="7"/>
  </r>
  <r>
    <d v="2025-08-11T00:00:00"/>
    <x v="2"/>
    <s v="TheBooks.pl Warszawa"/>
    <s v="PL"/>
    <n v="85"/>
    <x v="7"/>
  </r>
  <r>
    <d v="2025-08-11T00:00:00"/>
    <x v="2"/>
    <s v="FIVE O CLOCK"/>
    <s v="PL"/>
    <n v="112"/>
    <x v="7"/>
  </r>
  <r>
    <d v="2025-08-11T00:00:00"/>
    <x v="2"/>
    <s v="WARSZAWA MARSZALKOWSKA Warszawa"/>
    <s v="PL"/>
    <n v="3.22"/>
    <x v="6"/>
  </r>
  <r>
    <d v="2025-08-11T00:00:00"/>
    <x v="2"/>
    <s v="SMYK SPOLKA AKCYJNA"/>
    <s v="PL"/>
    <n v="106.99"/>
    <x v="0"/>
  </r>
  <r>
    <d v="2025-08-11T00:00:00"/>
    <x v="2"/>
    <s v="BOLT"/>
    <s v="EE"/>
    <n v="25.2"/>
    <x v="6"/>
  </r>
  <r>
    <d v="2025-08-11T00:00:00"/>
    <x v="2"/>
    <s v="Nike URSUS WARSZAWA"/>
    <s v="PL"/>
    <n v="475.98"/>
    <x v="0"/>
  </r>
  <r>
    <d v="2025-08-11T00:00:00"/>
    <x v="2"/>
    <s v="LPP RESERVED"/>
    <s v="PL"/>
    <n v="39.99"/>
    <x v="0"/>
  </r>
  <r>
    <d v="2025-08-11T00:00:00"/>
    <x v="2"/>
    <s v="LPP RESERVED"/>
    <s v="PL"/>
    <n v="78.98"/>
    <x v="0"/>
  </r>
  <r>
    <d v="2025-08-11T00:00:00"/>
    <x v="2"/>
    <s v="BIEDRONKA"/>
    <s v="PL"/>
    <n v="6.28"/>
    <x v="2"/>
  </r>
  <r>
    <d v="2025-08-11T00:00:00"/>
    <x v="2"/>
    <s v="OKSI KEBAB WARSZAWA"/>
    <s v="PL"/>
    <n v="37"/>
    <x v="5"/>
  </r>
  <r>
    <d v="2025-08-11T00:00:00"/>
    <x v="2"/>
    <s v="CURRY LEAVES WARSZAWA"/>
    <s v="PL"/>
    <n v="15"/>
    <x v="5"/>
  </r>
  <r>
    <d v="2025-08-11T00:00:00"/>
    <x v="2"/>
    <s v="NOODLE HOUSE FAST FOO WARSZAWA"/>
    <s v="PL"/>
    <n v="43"/>
    <x v="5"/>
  </r>
  <r>
    <d v="2025-08-11T00:00:00"/>
    <x v="2"/>
    <s v="MAJA DO HOANG VAN DO Warszawa"/>
    <s v="PL"/>
    <n v="28"/>
    <x v="3"/>
  </r>
  <r>
    <d v="2025-08-11T00:00:00"/>
    <x v="2"/>
    <s v="ZABKA"/>
    <s v="PL"/>
    <n v="9.42"/>
    <x v="2"/>
  </r>
  <r>
    <d v="2025-08-12T00:00:00"/>
    <x v="2"/>
    <s v="DM­DROGERIE MAR"/>
    <s v="PL"/>
    <n v="40.15"/>
    <x v="7"/>
  </r>
  <r>
    <d v="2025-08-12T00:00:00"/>
    <x v="2"/>
    <s v="BIEDRONKA"/>
    <s v="PL"/>
    <n v="46.63"/>
    <x v="2"/>
  </r>
  <r>
    <d v="2025-08-13T00:00:00"/>
    <x v="2"/>
    <s v="LEONINA IERSHOVA"/>
    <s v="PL"/>
    <n v="120"/>
    <x v="7"/>
  </r>
  <r>
    <d v="2025-08-13T00:00:00"/>
    <x v="2"/>
    <s v="AUCHAN"/>
    <s v="PL"/>
    <n v="5.98"/>
    <x v="2"/>
  </r>
  <r>
    <d v="2025-08-13T00:00:00"/>
    <x v="2"/>
    <s v="Apteka Galen"/>
    <s v="PL"/>
    <n v="285.82"/>
    <x v="3"/>
  </r>
  <r>
    <d v="2025-08-13T00:00:00"/>
    <x v="2"/>
    <s v="LITTLE INDIA"/>
    <s v="PL"/>
    <n v="28"/>
    <x v="3"/>
  </r>
  <r>
    <d v="2025-08-13T00:00:00"/>
    <x v="2"/>
    <s v="STRADIVARIUS GALERIA K"/>
    <s v="PL"/>
    <n v="65.900000000000006"/>
    <x v="3"/>
  </r>
  <r>
    <d v="2025-08-13T00:00:00"/>
    <x v="2"/>
    <s v="ROSSMANN"/>
    <s v="PL"/>
    <n v="59.57"/>
    <x v="7"/>
  </r>
  <r>
    <d v="2025-08-13T00:00:00"/>
    <x v="2"/>
    <s v="DECATHLON "/>
    <s v="PL"/>
    <n v="74.98"/>
    <x v="3"/>
  </r>
  <r>
    <d v="2025-08-13T00:00:00"/>
    <x v="2"/>
    <s v="jakdojade.pl Poznan"/>
    <s v="PL"/>
    <n v="25"/>
    <x v="6"/>
  </r>
  <r>
    <d v="2025-08-13T00:00:00"/>
    <x v="2"/>
    <s v="jakdojade.pl Poznan"/>
    <s v="PL"/>
    <n v="20"/>
    <x v="6"/>
  </r>
  <r>
    <d v="2025-08-13T00:00:00"/>
    <x v="2"/>
    <s v="TEDI"/>
    <s v="PL"/>
    <n v="42"/>
    <x v="7"/>
  </r>
  <r>
    <d v="2025-08-13T00:00:00"/>
    <x v="2"/>
    <s v="SUBWAY"/>
    <s v="PL"/>
    <n v="28.9"/>
    <x v="5"/>
  </r>
  <r>
    <d v="2025-08-13T00:00:00"/>
    <x v="2"/>
    <s v="BURGER KING"/>
    <s v="PL"/>
    <n v="7.99"/>
    <x v="5"/>
  </r>
  <r>
    <d v="2025-08-14T00:00:00"/>
    <x v="2"/>
    <s v="Premium Food"/>
    <s v="PL"/>
    <n v="73.98"/>
    <x v="5"/>
  </r>
  <r>
    <d v="2025-08-14T00:00:00"/>
    <x v="2"/>
    <s v="LIDL"/>
    <s v="PL"/>
    <n v="109.32"/>
    <x v="2"/>
  </r>
  <r>
    <d v="2025-08-14T00:00:00"/>
    <x v="2"/>
    <s v="ROSSMANN"/>
    <s v="PL"/>
    <n v="45.98"/>
    <x v="7"/>
  </r>
  <r>
    <d v="2025-08-14T00:00:00"/>
    <x v="2"/>
    <s v="UBER"/>
    <s v="NL"/>
    <n v="77.930000000000007"/>
    <x v="6"/>
  </r>
  <r>
    <d v="2025-08-14T00:00:00"/>
    <x v="2"/>
    <s v="UBER"/>
    <s v="NL"/>
    <n v="79.180000000000007"/>
    <x v="6"/>
  </r>
  <r>
    <d v="2025-08-14T00:00:00"/>
    <x v="2"/>
    <s v="ZABKA"/>
    <s v="PL"/>
    <n v="1.99"/>
    <x v="2"/>
  </r>
  <r>
    <d v="2025-08-15T00:00:00"/>
    <x v="2"/>
    <s v="LIDL"/>
    <s v="MT"/>
    <n v="15.9"/>
    <x v="2"/>
  </r>
  <r>
    <d v="2025-08-18T00:00:00"/>
    <x v="2"/>
    <s v="ZIKO APTEKA"/>
    <s v="PL"/>
    <n v="27.99"/>
    <x v="9"/>
  </r>
  <r>
    <d v="2025-08-18T00:00:00"/>
    <x v="2"/>
    <s v="LIDL"/>
    <s v="PL"/>
    <n v="125.28"/>
    <x v="2"/>
  </r>
  <r>
    <d v="2025-08-18T00:00:00"/>
    <x v="2"/>
    <s v="UBER"/>
    <s v="NL"/>
    <n v="40.21"/>
    <x v="6"/>
  </r>
  <r>
    <d v="2025-08-18T00:00:00"/>
    <x v="2"/>
    <s v="UBER EATS"/>
    <s v="NL"/>
    <n v="65.2"/>
    <x v="10"/>
  </r>
  <r>
    <d v="2025-08-18T00:00:00"/>
    <x v="2"/>
    <s v="UBER EATS"/>
    <s v="NL"/>
    <n v="31.75"/>
    <x v="10"/>
  </r>
  <r>
    <d v="2025-08-18T00:00:00"/>
    <x v="2"/>
    <s v="BIEDRONKA"/>
    <s v="PL"/>
    <n v="207.72"/>
    <x v="2"/>
  </r>
  <r>
    <d v="2025-08-19T00:00:00"/>
    <x v="2"/>
    <s v="Allegro Poznan"/>
    <s v="PL"/>
    <n v="40.159999999999997"/>
    <x v="1"/>
  </r>
  <r>
    <d v="2025-08-19T00:00:00"/>
    <x v="2"/>
    <s v="KFC "/>
    <s v="PL"/>
    <n v="12.99"/>
    <x v="5"/>
  </r>
  <r>
    <d v="2025-08-19T00:00:00"/>
    <x v="2"/>
    <s v="AUCHAN"/>
    <s v="PL"/>
    <n v="5.98"/>
    <x v="2"/>
  </r>
  <r>
    <d v="2025-08-19T00:00:00"/>
    <x v="2"/>
    <s v="Allegro Poznan"/>
    <s v="PL"/>
    <n v="45.25"/>
    <x v="1"/>
  </r>
  <r>
    <d v="2025-08-19T00:00:00"/>
    <x v="2"/>
    <s v="Allegro Poznan"/>
    <s v="PL"/>
    <n v="65.8"/>
    <x v="1"/>
  </r>
  <r>
    <d v="2025-08-19T00:00:00"/>
    <x v="2"/>
    <s v="BIEDRONKA"/>
    <s v="PL"/>
    <n v="37.1"/>
    <x v="2"/>
  </r>
  <r>
    <d v="2025-08-20T00:00:00"/>
    <x v="2"/>
    <s v="ZABKA"/>
    <s v="PL"/>
    <n v="10.48"/>
    <x v="2"/>
  </r>
  <r>
    <d v="2025-08-21T00:00:00"/>
    <x v="2"/>
    <s v="BIEDRONKA"/>
    <s v="PL"/>
    <n v="121.54"/>
    <x v="2"/>
  </r>
  <r>
    <d v="2025-08-22T00:00:00"/>
    <x v="2"/>
    <s v="KFC "/>
    <s v="PL"/>
    <n v="33.97"/>
    <x v="5"/>
  </r>
  <r>
    <d v="2025-08-22T00:00:00"/>
    <x v="2"/>
    <s v="KOLEJE MALOPOLSKIE SP."/>
    <s v="PL"/>
    <n v="12"/>
    <x v="6"/>
  </r>
  <r>
    <d v="2025-08-22T00:00:00"/>
    <x v="2"/>
    <s v="Apteka Galen"/>
    <s v="PL"/>
    <n v="49.99"/>
    <x v="3"/>
  </r>
  <r>
    <d v="2025-08-22T00:00:00"/>
    <x v="2"/>
    <s v="jakdojade.pl Poznan"/>
    <s v="PL"/>
    <n v="20"/>
    <x v="6"/>
  </r>
  <r>
    <d v="2025-08-22T00:00:00"/>
    <x v="2"/>
    <s v="BOLT"/>
    <s v="EE"/>
    <n v="48"/>
    <x v="6"/>
  </r>
  <r>
    <d v="2025-08-22T00:00:00"/>
    <x v="2"/>
    <s v="INDIA STORE"/>
    <s v="PL"/>
    <n v="144.79"/>
    <x v="2"/>
  </r>
  <r>
    <d v="2025-08-22T00:00:00"/>
    <x v="2"/>
    <s v="ZABKA"/>
    <s v="PL"/>
    <n v="7.5"/>
    <x v="2"/>
  </r>
  <r>
    <d v="2025-08-22T00:00:00"/>
    <x v="2"/>
    <s v="ZABKA"/>
    <s v="PL"/>
    <n v="13.87"/>
    <x v="2"/>
  </r>
  <r>
    <d v="2025-08-23T00:00:00"/>
    <x v="2"/>
    <s v="ZIKO APTEKA"/>
    <s v="PL"/>
    <n v="31.99"/>
    <x v="9"/>
  </r>
  <r>
    <d v="2025-08-23T00:00:00"/>
    <x v="2"/>
    <s v="BIEDRONKA"/>
    <s v="PL"/>
    <n v="136.59"/>
    <x v="2"/>
  </r>
  <r>
    <d v="2025-08-24T00:00:00"/>
    <x v="2"/>
    <s v="UBER EATS"/>
    <s v="NL"/>
    <n v="57.23"/>
    <x v="10"/>
  </r>
  <r>
    <d v="2025-08-26T00:00:00"/>
    <x v="2"/>
    <s v="APTEKA VITA"/>
    <s v="PL"/>
    <n v="2.7"/>
    <x v="3"/>
  </r>
  <r>
    <d v="2025-08-26T00:00:00"/>
    <x v="2"/>
    <s v="GRUZINSKA PIEKARNIA"/>
    <s v="PL"/>
    <n v="14.5"/>
    <x v="4"/>
  </r>
  <r>
    <d v="2025-08-26T00:00:00"/>
    <x v="2"/>
    <s v="BIEDRONKA"/>
    <s v="PL"/>
    <n v="286.94"/>
    <x v="2"/>
  </r>
  <r>
    <d v="2025-08-27T00:00:00"/>
    <x v="2"/>
    <s v="AUCHAN"/>
    <s v="PL"/>
    <n v="46.88"/>
    <x v="2"/>
  </r>
  <r>
    <d v="2025-08-28T00:00:00"/>
    <x v="2"/>
    <s v="BIEDRONKA"/>
    <s v="PL"/>
    <n v="44.06"/>
    <x v="2"/>
  </r>
  <r>
    <d v="2025-08-29T00:00:00"/>
    <x v="2"/>
    <s v="LIDL"/>
    <s v="PL"/>
    <n v="123.11"/>
    <x v="2"/>
  </r>
  <r>
    <d v="2025-08-29T00:00:00"/>
    <x v="2"/>
    <s v="jakdojade.pl Poznan"/>
    <s v="PL"/>
    <n v="20"/>
    <x v="6"/>
  </r>
  <r>
    <d v="2025-08-29T00:00:00"/>
    <x v="2"/>
    <s v="jakdojade.pl Poznan"/>
    <s v="PL"/>
    <n v="20"/>
    <x v="6"/>
  </r>
  <r>
    <d v="2025-08-29T00:00:00"/>
    <x v="2"/>
    <s v="UBER EATS"/>
    <s v="NL"/>
    <n v="82.25"/>
    <x v="10"/>
  </r>
  <r>
    <d v="2025-08-29T00:00:00"/>
    <x v="2"/>
    <s v="VIETNAM FOOD"/>
    <s v="PL"/>
    <n v="80"/>
    <x v="5"/>
  </r>
  <r>
    <d v="2025-08-29T00:00:00"/>
    <x v="2"/>
    <s v="YUM YUM"/>
    <s v="PL"/>
    <n v="50"/>
    <x v="5"/>
  </r>
  <r>
    <d v="2025-08-30T00:00:00"/>
    <x v="2"/>
    <s v="ZIKO APTEKA"/>
    <s v="PL"/>
    <n v="124.6"/>
    <x v="9"/>
  </r>
  <r>
    <d v="2025-08-30T00:00:00"/>
    <x v="2"/>
    <s v="LITTLE INDIA"/>
    <s v="PL"/>
    <n v="100.8"/>
    <x v="3"/>
  </r>
  <r>
    <d v="2025-08-30T00:00:00"/>
    <x v="2"/>
    <s v="jakdojade.pl Poznan"/>
    <s v="PL"/>
    <n v="25"/>
    <x v="6"/>
  </r>
  <r>
    <d v="2025-08-30T00:00:00"/>
    <x v="2"/>
    <s v="Good Lood"/>
    <s v="PL"/>
    <n v="9"/>
    <x v="5"/>
  </r>
  <r>
    <d v="2025-08-30T00:00:00"/>
    <x v="2"/>
    <s v="VIETNAM FOOD"/>
    <s v="PL"/>
    <n v="67"/>
    <x v="5"/>
  </r>
  <r>
    <d v="2025-08-30T00:00:00"/>
    <x v="2"/>
    <s v="AWITEKS"/>
    <s v="PL"/>
    <n v="35.549999999999997"/>
    <x v="4"/>
  </r>
  <r>
    <d v="2025-08-30T00:00:00"/>
    <x v="2"/>
    <s v="BIEDRONKA"/>
    <s v="PL"/>
    <n v="94.86"/>
    <x v="2"/>
  </r>
  <r>
    <d v="2025-08-30T00:00:00"/>
    <x v="2"/>
    <s v="FUNDACJA MIEJSKI PARK"/>
    <s v="PL"/>
    <n v="84"/>
    <x v="6"/>
  </r>
  <r>
    <d v="2025-08-30T00:00:00"/>
    <x v="2"/>
    <s v="POCO LOCO"/>
    <s v="PL"/>
    <n v="37"/>
    <x v="5"/>
  </r>
  <r>
    <d v="2025-09-01T00:00:00"/>
    <x v="3"/>
    <s v="LIDL"/>
    <s v="PL"/>
    <n v="175.96"/>
    <x v="2"/>
  </r>
  <r>
    <d v="2025-09-01T00:00:00"/>
    <x v="3"/>
    <s v="Orange Flex warszawa"/>
    <s v="PL"/>
    <n v="35"/>
    <x v="8"/>
  </r>
  <r>
    <d v="2025-09-01T00:00:00"/>
    <x v="3"/>
    <s v="School Fee"/>
    <s v="PL"/>
    <n v="996.93"/>
    <x v="7"/>
  </r>
  <r>
    <d v="2025-09-01T00:00:00"/>
    <x v="3"/>
    <s v="BIEDRONKA"/>
    <s v="PL"/>
    <n v="17.37"/>
    <x v="2"/>
  </r>
  <r>
    <d v="2025-09-02T00:00:00"/>
    <x v="3"/>
    <s v="BIEDRONKA"/>
    <s v="PL"/>
    <n v="38.229999999999997"/>
    <x v="2"/>
  </r>
  <r>
    <d v="2025-09-03T00:00:00"/>
    <x v="3"/>
    <s v="LA BAGUETTE"/>
    <s v="PL"/>
    <n v="21.25"/>
    <x v="5"/>
  </r>
  <r>
    <d v="2025-09-03T00:00:00"/>
    <x v="3"/>
    <s v="UBER EATS"/>
    <s v="NL"/>
    <n v="68.89"/>
    <x v="10"/>
  </r>
  <r>
    <d v="2025-09-04T00:00:00"/>
    <x v="3"/>
    <s v="AUCHAN"/>
    <s v="PL"/>
    <n v="79.44"/>
    <x v="2"/>
  </r>
  <r>
    <d v="2025-09-04T00:00:00"/>
    <x v="3"/>
    <s v="ZIKO APTEKA"/>
    <s v="PL"/>
    <n v="27.99"/>
    <x v="9"/>
  </r>
  <r>
    <d v="2025-09-05T00:00:00"/>
    <x v="3"/>
    <s v="LIDL"/>
    <s v="PL"/>
    <n v="431.8"/>
    <x v="2"/>
  </r>
  <r>
    <d v="2025-09-05T00:00:00"/>
    <x v="3"/>
    <s v="UBER EATS"/>
    <s v="NL"/>
    <n v="57.27"/>
    <x v="10"/>
  </r>
  <r>
    <d v="2025-09-05T00:00:00"/>
    <x v="3"/>
    <s v="UBER EATS"/>
    <s v="NL"/>
    <n v="29.79"/>
    <x v="10"/>
  </r>
  <r>
    <d v="2025-09-05T00:00:00"/>
    <x v="3"/>
    <s v="BIEDRONKA"/>
    <s v="PL"/>
    <n v="69.989999999999995"/>
    <x v="2"/>
  </r>
  <r>
    <d v="2025-09-06T00:00:00"/>
    <x v="3"/>
    <s v="FOOD FAMILY"/>
    <s v="PL"/>
    <n v="34"/>
    <x v="5"/>
  </r>
  <r>
    <d v="2025-09-06T00:00:00"/>
    <x v="3"/>
    <s v="ROSSMANN"/>
    <s v="PL"/>
    <n v="61.97"/>
    <x v="7"/>
  </r>
  <r>
    <d v="2025-09-06T00:00:00"/>
    <x v="3"/>
    <s v="AUCHAN"/>
    <s v="PL"/>
    <n v="175.85"/>
    <x v="2"/>
  </r>
  <r>
    <d v="2025-09-06T00:00:00"/>
    <x v="3"/>
    <s v="AUCHAN"/>
    <s v="PL"/>
    <n v="50.79"/>
    <x v="2"/>
  </r>
  <r>
    <d v="2025-09-06T00:00:00"/>
    <x v="3"/>
    <s v="aliexpress Luxembourg"/>
    <s v="PL"/>
    <n v="16"/>
    <x v="1"/>
  </r>
  <r>
    <d v="2025-09-06T00:00:00"/>
    <x v="3"/>
    <s v="Apteka Galen"/>
    <s v="PL"/>
    <n v="38.32"/>
    <x v="3"/>
  </r>
  <r>
    <d v="2025-09-06T00:00:00"/>
    <x v="3"/>
    <s v="LITTLE INDIA"/>
    <s v="PL"/>
    <n v="50"/>
    <x v="3"/>
  </r>
  <r>
    <d v="2025-09-06T00:00:00"/>
    <x v="3"/>
    <s v="BUBBLEJOY"/>
    <s v="PL"/>
    <n v="25.8"/>
    <x v="3"/>
  </r>
  <r>
    <d v="2025-09-06T00:00:00"/>
    <x v="3"/>
    <s v="INDIA STORE"/>
    <s v="PL"/>
    <n v="76.400000000000006"/>
    <x v="2"/>
  </r>
  <r>
    <d v="2025-09-06T00:00:00"/>
    <x v="3"/>
    <s v="STOKROTKA NR"/>
    <s v="PL"/>
    <n v="12.59"/>
    <x v="2"/>
  </r>
  <r>
    <d v="2025-09-06T00:00:00"/>
    <x v="3"/>
    <s v="BIEDRONKA"/>
    <s v="PL"/>
    <n v="1.99"/>
    <x v="2"/>
  </r>
  <r>
    <d v="2025-09-06T00:00:00"/>
    <x v="3"/>
    <s v="IKEA"/>
    <s v="PL"/>
    <n v="63.5"/>
    <x v="7"/>
  </r>
  <r>
    <d v="2025-09-07T00:00:00"/>
    <x v="3"/>
    <s v="LAJKONIK PIEKARNIA"/>
    <s v="PL"/>
    <n v="42"/>
    <x v="4"/>
  </r>
  <r>
    <d v="2025-09-07T00:00:00"/>
    <x v="3"/>
    <s v="LAJKONIK PIEKARNIA"/>
    <s v="PL"/>
    <n v="14"/>
    <x v="4"/>
  </r>
  <r>
    <d v="2025-09-08T00:00:00"/>
    <x v="3"/>
    <s v="OPŁ. ZA WYD. I OBSŁ. KARTY PŁAT."/>
    <s v="PL"/>
    <n v="12"/>
    <x v="3"/>
  </r>
  <r>
    <d v="2025-09-08T00:00:00"/>
    <x v="3"/>
    <s v="KFC "/>
    <s v="PL"/>
    <n v="6.99"/>
    <x v="5"/>
  </r>
  <r>
    <d v="2025-09-08T00:00:00"/>
    <x v="3"/>
    <s v="jakdojade.pl Poznan"/>
    <s v="PL"/>
    <n v="20"/>
    <x v="6"/>
  </r>
  <r>
    <d v="2025-09-08T00:00:00"/>
    <x v="3"/>
    <s v="AWITEKS"/>
    <s v="PL"/>
    <n v="9.49"/>
    <x v="4"/>
  </r>
  <r>
    <d v="2025-09-09T00:00:00"/>
    <x v="3"/>
    <s v="CARREFOUR"/>
    <s v="PL"/>
    <n v="12.99"/>
    <x v="2"/>
  </r>
  <r>
    <d v="2025-09-10T00:00:00"/>
    <x v="3"/>
    <s v="LIDL"/>
    <s v="PL"/>
    <n v="57.21"/>
    <x v="2"/>
  </r>
  <r>
    <d v="2025-09-10T00:00:00"/>
    <x v="3"/>
    <s v="UBER"/>
    <s v="NL"/>
    <n v="12.99"/>
    <x v="6"/>
  </r>
  <r>
    <d v="2025-09-11T00:00:00"/>
    <x v="3"/>
    <s v="BIEDRONKA"/>
    <s v="PL"/>
    <n v="28.93"/>
    <x v="2"/>
  </r>
  <r>
    <d v="2025-09-12T00:00:00"/>
    <x v="3"/>
    <s v="UBER EATS"/>
    <s v="NL"/>
    <n v="75.56"/>
    <x v="10"/>
  </r>
  <r>
    <d v="2025-09-13T00:00:00"/>
    <x v="3"/>
    <s v="LIDL"/>
    <s v="PL"/>
    <n v="284.33"/>
    <x v="2"/>
  </r>
  <r>
    <d v="2025-09-13T00:00:00"/>
    <x v="3"/>
    <s v="jakdojade.pl Poznan"/>
    <s v="PL"/>
    <n v="20"/>
    <x v="6"/>
  </r>
  <r>
    <d v="2025-09-13T00:00:00"/>
    <x v="3"/>
    <s v="GREEN COFFEE SP ZOO"/>
    <s v="PL"/>
    <n v="46.6"/>
    <x v="4"/>
  </r>
  <r>
    <d v="2025-09-13T00:00:00"/>
    <x v="3"/>
    <s v="CARREFOUR"/>
    <s v="PL"/>
    <n v="13.9"/>
    <x v="2"/>
  </r>
  <r>
    <d v="2025-09-13T00:00:00"/>
    <x v="3"/>
    <s v="CARREFOUR"/>
    <s v="PL"/>
    <n v="190.95"/>
    <x v="2"/>
  </r>
  <r>
    <d v="2025-09-13T00:00:00"/>
    <x v="3"/>
    <s v="KEBAB STOJEDEN"/>
    <s v="PL"/>
    <n v="23"/>
    <x v="5"/>
  </r>
  <r>
    <d v="2025-09-13T00:00:00"/>
    <x v="3"/>
    <s v="KEBAB STOJEDEN"/>
    <s v="PL"/>
    <n v="36"/>
    <x v="5"/>
  </r>
  <r>
    <d v="2025-09-14T00:00:00"/>
    <x v="3"/>
    <s v="jakdojade.pl Poznan"/>
    <s v="PL"/>
    <n v="20"/>
    <x v="6"/>
  </r>
  <r>
    <d v="2025-09-14T00:00:00"/>
    <x v="3"/>
    <s v="BOLT"/>
    <s v="EE"/>
    <n v="68.599999999999994"/>
    <x v="6"/>
  </r>
  <r>
    <d v="2025-09-14T00:00:00"/>
    <x v="3"/>
    <s v="CARREFOUR"/>
    <s v="PL"/>
    <n v="4.1900000000000004"/>
    <x v="2"/>
  </r>
  <r>
    <d v="2025-09-14T00:00:00"/>
    <x v="3"/>
    <s v="ZABKA"/>
    <s v="PL"/>
    <n v="5"/>
    <x v="2"/>
  </r>
  <r>
    <d v="2025-09-14T00:00:00"/>
    <x v="3"/>
    <s v="ZABKA"/>
    <s v="PL"/>
    <n v="10.4"/>
    <x v="2"/>
  </r>
  <r>
    <d v="2025-09-15T00:00:00"/>
    <x v="3"/>
    <s v="KFC "/>
    <s v="PL"/>
    <n v="6.99"/>
    <x v="5"/>
  </r>
  <r>
    <d v="2025-09-15T00:00:00"/>
    <x v="3"/>
    <s v="jakdojade.pl Poznan"/>
    <s v="PL"/>
    <n v="50"/>
    <x v="6"/>
  </r>
  <r>
    <d v="2025-09-15T00:00:00"/>
    <x v="3"/>
    <s v="UBER EATS"/>
    <s v="NL"/>
    <n v="75.2"/>
    <x v="10"/>
  </r>
  <r>
    <d v="2025-09-15T00:00:00"/>
    <x v="3"/>
    <s v="CARREFOUR"/>
    <s v="PL"/>
    <n v="18.68"/>
    <x v="2"/>
  </r>
  <r>
    <d v="2025-09-15T00:00:00"/>
    <x v="3"/>
    <s v="ZABKA"/>
    <s v="PL"/>
    <n v="13.49"/>
    <x v="2"/>
  </r>
  <r>
    <d v="2025-09-16T00:00:00"/>
    <x v="3"/>
    <s v="FIRMA TONI THAT DONG T NOWA HUTA"/>
    <s v="KRAPL"/>
    <n v="85.2"/>
    <x v="7"/>
  </r>
  <r>
    <d v="2025-09-16T00:00:00"/>
    <x v="3"/>
    <s v="ZABKA"/>
    <s v="PL"/>
    <n v="5"/>
    <x v="2"/>
  </r>
  <r>
    <d v="2025-09-16T00:00:00"/>
    <x v="3"/>
    <s v="ZABKA"/>
    <s v="PL"/>
    <n v="21.9"/>
    <x v="2"/>
  </r>
  <r>
    <d v="2025-09-16T00:00:00"/>
    <x v="3"/>
    <s v="ZABKA"/>
    <s v="PL"/>
    <n v="10.4"/>
    <x v="2"/>
  </r>
  <r>
    <d v="2025-09-17T00:00:00"/>
    <x v="3"/>
    <s v="APTEKA GALEN"/>
    <s v="PL"/>
    <n v="17.989999999999998"/>
    <x v="3"/>
  </r>
  <r>
    <d v="2025-09-17T00:00:00"/>
    <x v="3"/>
    <s v="APTEKA GALEN"/>
    <s v="PL"/>
    <n v="39.99"/>
    <x v="3"/>
  </r>
  <r>
    <d v="2025-09-17T00:00:00"/>
    <x v="3"/>
    <s v="UBER EATS"/>
    <s v="NL"/>
    <n v="33"/>
    <x v="10"/>
  </r>
  <r>
    <d v="2025-09-17T00:00:00"/>
    <x v="3"/>
    <s v="UBER EATS"/>
    <s v="NL"/>
    <n v="59.4"/>
    <x v="10"/>
  </r>
  <r>
    <d v="2025-09-17T00:00:00"/>
    <x v="3"/>
    <s v="GREEN COFFEE SP ZOO"/>
    <s v="PL"/>
    <n v="60.8"/>
    <x v="4"/>
  </r>
  <r>
    <d v="2025-09-17T00:00:00"/>
    <x v="3"/>
    <s v="EURO NET SP Z O O"/>
    <s v="PL"/>
    <n v="19.989999999999998"/>
    <x v="6"/>
  </r>
  <r>
    <d v="2025-09-17T00:00:00"/>
    <x v="3"/>
    <s v="PRO*LITTLEINDIA.PL WARSZAWA"/>
    <s v="PL"/>
    <n v="177"/>
    <x v="3"/>
  </r>
  <r>
    <d v="2025-09-17T00:00:00"/>
    <x v="3"/>
    <s v="ZABKA"/>
    <s v="PL"/>
    <n v="7.8"/>
    <x v="2"/>
  </r>
  <r>
    <d v="2025-09-18T00:00:00"/>
    <x v="3"/>
    <s v="LIDL"/>
    <s v="PL"/>
    <n v="13.98"/>
    <x v="2"/>
  </r>
  <r>
    <d v="2025-09-18T00:00:00"/>
    <x v="3"/>
    <s v="ZIKO APTEKA"/>
    <s v="PL"/>
    <n v="34.99"/>
    <x v="9"/>
  </r>
  <r>
    <d v="2025-09-18T00:00:00"/>
    <x v="3"/>
    <s v="DM­DROGERIE MAR"/>
    <s v="PL"/>
    <n v="41.26"/>
    <x v="7"/>
  </r>
  <r>
    <d v="2025-09-18T00:00:00"/>
    <x v="3"/>
    <s v="Allegro Poznan"/>
    <s v="PL"/>
    <n v="69.58"/>
    <x v="1"/>
  </r>
  <r>
    <d v="2025-09-18T00:00:00"/>
    <x v="3"/>
    <s v="UBER EATS"/>
    <s v="NL"/>
    <n v="27.45"/>
    <x v="10"/>
  </r>
  <r>
    <d v="2025-09-18T00:00:00"/>
    <x v="3"/>
    <s v="UBER EATS"/>
    <s v="NL"/>
    <n v="44.55"/>
    <x v="10"/>
  </r>
  <r>
    <d v="2025-09-18T00:00:00"/>
    <x v="3"/>
    <s v="ACTION"/>
    <s v="PL"/>
    <n v="80.94"/>
    <x v="7"/>
  </r>
  <r>
    <d v="2025-09-19T00:00:00"/>
    <x v="3"/>
    <s v="LIDL"/>
    <s v="PL"/>
    <n v="174.68"/>
    <x v="2"/>
  </r>
  <r>
    <d v="2025-09-19T00:00:00"/>
    <x v="3"/>
    <s v="UBER EATS"/>
    <s v="NL"/>
    <n v="98.59"/>
    <x v="10"/>
  </r>
  <r>
    <d v="2025-09-20T00:00:00"/>
    <x v="3"/>
    <s v="Berlin Doner Kebap"/>
    <s v="PL"/>
    <n v="34.9"/>
    <x v="5"/>
  </r>
  <r>
    <d v="2025-09-20T00:00:00"/>
    <x v="3"/>
    <s v="LITTLE INDIA"/>
    <s v="PL"/>
    <n v="70"/>
    <x v="3"/>
  </r>
  <r>
    <d v="2025-09-20T00:00:00"/>
    <x v="3"/>
    <s v="DECATHLON "/>
    <s v="PL"/>
    <n v="69.989999999999995"/>
    <x v="3"/>
  </r>
  <r>
    <d v="2025-09-20T00:00:00"/>
    <x v="3"/>
    <s v="SMYK SPOLKA AKCYJNA"/>
    <s v="PL"/>
    <n v="193.94"/>
    <x v="0"/>
  </r>
  <r>
    <d v="2025-09-20T00:00:00"/>
    <x v="3"/>
    <s v="Pyszne.pl YCPM"/>
    <s v="PL"/>
    <n v="68.59"/>
    <x v="10"/>
  </r>
  <r>
    <d v="2025-09-20T00:00:00"/>
    <x v="3"/>
    <s v="SIKORA SP Z O O"/>
    <s v="PL"/>
    <n v="8"/>
    <x v="8"/>
  </r>
  <r>
    <d v="2025-09-20T00:00:00"/>
    <x v="3"/>
    <s v="VIETNAM FOOD"/>
    <s v="PL"/>
    <n v="75"/>
    <x v="5"/>
  </r>
  <r>
    <d v="2025-09-20T00:00:00"/>
    <x v="3"/>
    <s v="CARREFOUR"/>
    <s v="PL"/>
    <n v="585.04999999999995"/>
    <x v="2"/>
  </r>
  <r>
    <d v="2025-09-20T00:00:00"/>
    <x v="3"/>
    <s v="BIEDRONKA"/>
    <s v="PL"/>
    <n v="3.88"/>
    <x v="2"/>
  </r>
  <r>
    <d v="2025-09-20T00:00:00"/>
    <x v="3"/>
    <s v="ZABKA"/>
    <s v="PL"/>
    <n v="5"/>
    <x v="2"/>
  </r>
  <r>
    <d v="2025-09-21T00:00:00"/>
    <x v="3"/>
    <s v="jakdojade.pl Poznan"/>
    <s v="PL"/>
    <n v="20"/>
    <x v="6"/>
  </r>
  <r>
    <d v="2025-09-21T00:00:00"/>
    <x v="3"/>
    <s v="BOLT"/>
    <s v="EE"/>
    <n v="54"/>
    <x v="6"/>
  </r>
  <r>
    <d v="2025-09-23T00:00:00"/>
    <x v="3"/>
    <s v="GRUZINSKA PIEKARNIA"/>
    <s v="PL"/>
    <n v="7"/>
    <x v="4"/>
  </r>
  <r>
    <d v="2025-09-23T00:00:00"/>
    <x v="3"/>
    <s v="ZABKA"/>
    <s v="PL"/>
    <n v="10.4"/>
    <x v="2"/>
  </r>
  <r>
    <d v="2025-09-24T00:00:00"/>
    <x v="3"/>
    <s v="PŁATNOŚĆ BLIK"/>
    <s v="BLIK"/>
    <n v="50"/>
    <x v="6"/>
  </r>
  <r>
    <d v="2025-09-24T00:00:00"/>
    <x v="3"/>
    <s v="FOOD FAMILY"/>
    <s v="PL"/>
    <n v="24"/>
    <x v="5"/>
  </r>
  <r>
    <d v="2025-09-24T00:00:00"/>
    <x v="3"/>
    <s v="LIDL"/>
    <s v="PL"/>
    <n v="43.21"/>
    <x v="2"/>
  </r>
  <r>
    <d v="2025-09-24T00:00:00"/>
    <x v="3"/>
    <s v="SMYK SPOLKA AKCYJNA"/>
    <s v="PL"/>
    <n v="69.989999999999995"/>
    <x v="0"/>
  </r>
  <r>
    <d v="2025-09-24T00:00:00"/>
    <x v="3"/>
    <s v="Glovo"/>
    <s v="PL"/>
    <n v="58.32"/>
    <x v="10"/>
  </r>
  <r>
    <d v="2025-09-24T00:00:00"/>
    <x v="3"/>
    <s v="PEPCO"/>
    <s v="PL"/>
    <n v="37"/>
    <x v="0"/>
  </r>
  <r>
    <d v="2025-09-24T00:00:00"/>
    <x v="3"/>
    <s v="IKEA"/>
    <s v="PL"/>
    <n v="36"/>
    <x v="7"/>
  </r>
  <r>
    <d v="2025-09-25T00:00:00"/>
    <x v="3"/>
    <s v="ZABKA"/>
    <s v="PL"/>
    <n v="2.17"/>
    <x v="2"/>
  </r>
  <r>
    <d v="2025-09-27T00:00:00"/>
    <x v="3"/>
    <s v="LIDL"/>
    <s v="PL"/>
    <n v="405.91"/>
    <x v="2"/>
  </r>
  <r>
    <d v="2025-09-27T00:00:00"/>
    <x v="3"/>
    <s v="LITTLE INDIA"/>
    <s v="PL"/>
    <n v="70"/>
    <x v="3"/>
  </r>
  <r>
    <d v="2025-09-27T00:00:00"/>
    <x v="3"/>
    <s v="jakdojade.pl Poznan"/>
    <s v="PL"/>
    <n v="20"/>
    <x v="6"/>
  </r>
  <r>
    <d v="2025-09-27T00:00:00"/>
    <x v="3"/>
    <s v="ACTION"/>
    <s v="PL"/>
    <n v="13.9"/>
    <x v="7"/>
  </r>
  <r>
    <d v="2025-09-27T00:00:00"/>
    <x v="3"/>
    <s v="BOLT"/>
    <s v="EE"/>
    <n v="54.76"/>
    <x v="6"/>
  </r>
  <r>
    <d v="2025-09-27T00:00:00"/>
    <x v="3"/>
    <s v="STOKROTKA NR"/>
    <s v="PL"/>
    <n v="2.4900000000000002"/>
    <x v="2"/>
  </r>
  <r>
    <d v="2025-09-27T00:00:00"/>
    <x v="3"/>
    <s v="ZABKA"/>
    <s v="PL"/>
    <n v="5.2"/>
    <x v="2"/>
  </r>
  <r>
    <d v="2025-09-27T00:00:00"/>
    <x v="3"/>
    <s v="ZABKA"/>
    <s v="PL"/>
    <n v="2.5"/>
    <x v="2"/>
  </r>
  <r>
    <d v="2025-09-28T00:00:00"/>
    <x v="3"/>
    <s v="aliexpress Luxembourg"/>
    <s v="LU"/>
    <n v="300.5"/>
    <x v="1"/>
  </r>
  <r>
    <d v="2025-09-28T00:00:00"/>
    <x v="3"/>
    <s v="aliexpress Luxembourg"/>
    <s v="LU"/>
    <n v="161.58000000000001"/>
    <x v="1"/>
  </r>
  <r>
    <d v="2025-09-30T00:00:00"/>
    <x v="3"/>
    <s v="aliexpress Luxembourg"/>
    <s v="LU"/>
    <n v="120.79"/>
    <x v="1"/>
  </r>
  <r>
    <d v="2025-10-01T00:00:00"/>
    <x v="4"/>
    <s v="PŁATNOŚĆ BLIK"/>
    <s v="Flex"/>
    <n v="35"/>
    <x v="6"/>
  </r>
  <r>
    <d v="2025-10-01T00:00:00"/>
    <x v="4"/>
    <s v="KFC "/>
    <s v="PL"/>
    <n v="13.98"/>
    <x v="5"/>
  </r>
  <r>
    <d v="2025-10-01T00:00:00"/>
    <x v="4"/>
    <s v="KFC "/>
    <s v="PL"/>
    <n v="5"/>
    <x v="5"/>
  </r>
  <r>
    <d v="2025-10-01T00:00:00"/>
    <x v="4"/>
    <s v="LIDL"/>
    <s v="PL"/>
    <n v="7.49"/>
    <x v="2"/>
  </r>
  <r>
    <d v="2025-10-01T00:00:00"/>
    <x v="4"/>
    <s v="ZABKA"/>
    <s v="PL"/>
    <n v="19.98"/>
    <x v="2"/>
  </r>
  <r>
    <d v="2025-10-02T00:00:00"/>
    <x v="4"/>
    <s v="BIEDRONKA"/>
    <s v="PL"/>
    <n v="40.869999999999997"/>
    <x v="2"/>
  </r>
  <r>
    <d v="2025-10-03T00:00:00"/>
    <x v="4"/>
    <s v="jakdojade.pl Poznan"/>
    <s v="PL"/>
    <n v="20"/>
    <x v="6"/>
  </r>
  <r>
    <d v="2025-10-03T00:00:00"/>
    <x v="4"/>
    <s v="aliexpress Luxembourg"/>
    <s v="LU"/>
    <n v="82.02"/>
    <x v="1"/>
  </r>
  <r>
    <d v="2025-10-03T00:00:00"/>
    <x v="4"/>
    <s v="MEDIAEXPERT PL ZLOTOW"/>
    <s v="PL"/>
    <n v="229.99"/>
    <x v="7"/>
  </r>
  <r>
    <d v="2025-10-04T00:00:00"/>
    <x v="4"/>
    <s v="FIVE O CLOCK"/>
    <s v="PL"/>
    <n v="89.5"/>
    <x v="7"/>
  </r>
  <r>
    <d v="2025-10-04T00:00:00"/>
    <x v="4"/>
    <s v="RESTAURACJA HOAN"/>
    <s v="PL"/>
    <n v="90"/>
    <x v="5"/>
  </r>
  <r>
    <d v="2025-10-04T00:00:00"/>
    <x v="4"/>
    <s v="LIDL"/>
    <s v="PL"/>
    <n v="336.28"/>
    <x v="2"/>
  </r>
  <r>
    <d v="2025-10-04T00:00:00"/>
    <x v="4"/>
    <s v="MCDONALDS"/>
    <s v="PL"/>
    <n v="7"/>
    <x v="5"/>
  </r>
  <r>
    <d v="2025-10-04T00:00:00"/>
    <x v="4"/>
    <s v="Allegro Poznan"/>
    <s v="PL"/>
    <n v="45"/>
    <x v="1"/>
  </r>
  <r>
    <d v="2025-10-04T00:00:00"/>
    <x v="4"/>
    <s v="jakdojade.pl Poznan"/>
    <s v="PL"/>
    <n v="20"/>
    <x v="6"/>
  </r>
  <r>
    <d v="2025-10-04T00:00:00"/>
    <x v="4"/>
    <s v="BOLT"/>
    <s v="EE"/>
    <n v="33"/>
    <x v="6"/>
  </r>
  <r>
    <d v="2025-10-04T00:00:00"/>
    <x v="4"/>
    <s v="ORGANIC COFFEE AND MOR"/>
    <s v="PL"/>
    <n v="22.15"/>
    <x v="4"/>
  </r>
  <r>
    <d v="2025-10-04T00:00:00"/>
    <x v="4"/>
    <s v="SumUp *FUNDACJA OTWOR Warszawa"/>
    <s v="PL"/>
    <n v="20"/>
    <x v="6"/>
  </r>
  <r>
    <d v="2025-10-04T00:00:00"/>
    <x v="4"/>
    <s v="ZABKA"/>
    <s v="PL"/>
    <n v="14.69"/>
    <x v="2"/>
  </r>
  <r>
    <d v="2025-10-05T00:00:00"/>
    <x v="4"/>
    <s v="aliexpress Luxembourg"/>
    <s v="LU"/>
    <n v="42.11"/>
    <x v="1"/>
  </r>
  <r>
    <d v="2025-10-06T00:00:00"/>
    <x v="4"/>
    <s v="PŁATNOŚĆ BLIK"/>
    <s v="Paynow"/>
    <n v="167.5"/>
    <x v="6"/>
  </r>
  <r>
    <d v="2025-10-07T00:00:00"/>
    <x v="4"/>
    <s v="KFC "/>
    <s v="PL"/>
    <n v="6.99"/>
    <x v="5"/>
  </r>
  <r>
    <d v="2025-10-08T00:00:00"/>
    <x v="4"/>
    <s v="OPŁ. ZA WYD. I OBSŁ. KARTY PŁAT."/>
    <s v="PL"/>
    <n v="12"/>
    <x v="3"/>
  </r>
  <r>
    <d v="2025-10-08T00:00:00"/>
    <x v="4"/>
    <s v="ROSSMANN"/>
    <s v="PL"/>
    <n v="38.979999999999997"/>
    <x v="7"/>
  </r>
  <r>
    <d v="2025-10-08T00:00:00"/>
    <x v="4"/>
    <s v="LIDL"/>
    <s v="PL"/>
    <n v="144.97999999999999"/>
    <x v="2"/>
  </r>
  <r>
    <d v="2025-10-08T00:00:00"/>
    <x v="4"/>
    <s v="jakdojade.pl Poznan"/>
    <s v="PL"/>
    <n v="20"/>
    <x v="6"/>
  </r>
  <r>
    <d v="2025-10-10T00:00:00"/>
    <x v="4"/>
    <s v="UBER EATS"/>
    <s v="NL"/>
    <n v="60.35"/>
    <x v="10"/>
  </r>
  <r>
    <d v="2025-10-10T00:00:00"/>
    <x v="4"/>
    <s v="CARREFOUR"/>
    <s v="PL"/>
    <n v="50.91"/>
    <x v="2"/>
  </r>
  <r>
    <d v="2025-10-11T00:00:00"/>
    <x v="4"/>
    <s v="FOOD FAMILY"/>
    <s v="PL"/>
    <n v="24"/>
    <x v="5"/>
  </r>
  <r>
    <d v="2025-10-11T00:00:00"/>
    <x v="4"/>
    <s v="NAKIELNY"/>
    <s v="PL"/>
    <n v="20.149999999999999"/>
    <x v="4"/>
  </r>
  <r>
    <d v="2025-10-11T00:00:00"/>
    <x v="4"/>
    <s v="SMYK SPOLKA AKCYJNA"/>
    <s v="PL"/>
    <n v="159.97999999999999"/>
    <x v="0"/>
  </r>
  <r>
    <d v="2025-10-11T00:00:00"/>
    <x v="4"/>
    <s v="AUCHAN"/>
    <s v="PL"/>
    <n v="115.87"/>
    <x v="2"/>
  </r>
  <r>
    <d v="2025-10-11T00:00:00"/>
    <x v="4"/>
    <s v="AUCHAN"/>
    <s v="PL"/>
    <n v="4.4800000000000004"/>
    <x v="2"/>
  </r>
  <r>
    <d v="2025-10-11T00:00:00"/>
    <x v="4"/>
    <s v="jakdojade.pl Poznan"/>
    <s v="PL"/>
    <n v="20"/>
    <x v="6"/>
  </r>
  <r>
    <d v="2025-10-11T00:00:00"/>
    <x v="4"/>
    <s v="UBER EATS"/>
    <s v="NL"/>
    <n v="62.71"/>
    <x v="10"/>
  </r>
  <r>
    <d v="2025-10-11T00:00:00"/>
    <x v="4"/>
    <s v="PEPCO"/>
    <s v="PL"/>
    <n v="73"/>
    <x v="0"/>
  </r>
  <r>
    <d v="2025-10-11T00:00:00"/>
    <x v="4"/>
    <s v="IKEA"/>
    <s v="PL"/>
    <n v="107.99"/>
    <x v="7"/>
  </r>
  <r>
    <d v="2025-10-11T00:00:00"/>
    <x v="4"/>
    <s v="IKEA"/>
    <s v="PL"/>
    <n v="65"/>
    <x v="7"/>
  </r>
  <r>
    <d v="2025-10-11T00:00:00"/>
    <x v="4"/>
    <s v="TEDI"/>
    <s v="PL"/>
    <n v="10"/>
    <x v="7"/>
  </r>
  <r>
    <d v="2025-10-12T00:00:00"/>
    <x v="4"/>
    <s v="BOLT"/>
    <s v="EE"/>
    <n v="46.9"/>
    <x v="6"/>
  </r>
  <r>
    <d v="2025-10-12T00:00:00"/>
    <x v="4"/>
    <s v="YUM YUM"/>
    <s v="PL"/>
    <n v="47"/>
    <x v="5"/>
  </r>
  <r>
    <d v="2025-10-12T00:00:00"/>
    <x v="4"/>
    <s v="ZABKA"/>
    <s v="PL"/>
    <n v="9.99"/>
    <x v="2"/>
  </r>
  <r>
    <d v="2025-10-13T00:00:00"/>
    <x v="4"/>
    <s v="jakdojade.pl Poznan"/>
    <s v="PL"/>
    <n v="20"/>
    <x v="6"/>
  </r>
  <r>
    <d v="2025-10-14T00:00:00"/>
    <x v="4"/>
    <s v="EMIGRANT SPECIALTY CO"/>
    <s v="PL"/>
    <n v="22"/>
    <x v="4"/>
  </r>
  <r>
    <d v="2025-10-14T00:00:00"/>
    <x v="4"/>
    <s v="LITTLE INDIA"/>
    <s v="PL"/>
    <n v="30"/>
    <x v="3"/>
  </r>
  <r>
    <d v="2025-10-14T00:00:00"/>
    <x v="4"/>
    <s v="Apteka Galen"/>
    <s v="PL"/>
    <n v="97.3"/>
    <x v="3"/>
  </r>
  <r>
    <d v="2025-10-14T00:00:00"/>
    <x v="4"/>
    <s v="ZIKO APTEKA"/>
    <s v="PL"/>
    <n v="27.49"/>
    <x v="9"/>
  </r>
  <r>
    <d v="2025-10-14T00:00:00"/>
    <x v="4"/>
    <s v="ROSSMANN"/>
    <s v="PL"/>
    <n v="15.99"/>
    <x v="7"/>
  </r>
  <r>
    <d v="2025-10-14T00:00:00"/>
    <x v="4"/>
    <s v="LIDL"/>
    <s v="PL"/>
    <n v="87.44"/>
    <x v="2"/>
  </r>
  <r>
    <d v="2025-10-14T00:00:00"/>
    <x v="4"/>
    <s v="DM­DROGERIE MAR"/>
    <s v="PL"/>
    <n v="5.4"/>
    <x v="7"/>
  </r>
  <r>
    <d v="2025-10-14T00:00:00"/>
    <x v="4"/>
    <s v="UBER EATS"/>
    <s v="NL"/>
    <n v="54.39"/>
    <x v="10"/>
  </r>
  <r>
    <d v="2025-10-14T00:00:00"/>
    <x v="4"/>
    <s v="BOLT"/>
    <s v="EE"/>
    <n v="33"/>
    <x v="6"/>
  </r>
  <r>
    <d v="2025-10-14T00:00:00"/>
    <x v="4"/>
    <s v="AWITEKS"/>
    <s v="PL"/>
    <n v="18.38"/>
    <x v="4"/>
  </r>
  <r>
    <d v="2025-10-14T00:00:00"/>
    <x v="4"/>
    <s v="BIEDRONKA"/>
    <s v="PL"/>
    <n v="41.73"/>
    <x v="2"/>
  </r>
  <r>
    <d v="2025-10-14T00:00:00"/>
    <x v="4"/>
    <s v="FREENOW"/>
    <s v="PL"/>
    <n v="19.2"/>
    <x v="6"/>
  </r>
  <r>
    <d v="2025-10-15T00:00:00"/>
    <x v="4"/>
    <s v="Premium Food"/>
    <s v="PL"/>
    <n v="22.99"/>
    <x v="5"/>
  </r>
  <r>
    <d v="2025-10-15T00:00:00"/>
    <x v="4"/>
    <s v="OEBB Ticket Automat Wien"/>
    <s v="AT"/>
    <n v="72.959999999999994"/>
    <x v="6"/>
  </r>
  <r>
    <d v="2025-10-15T00:00:00"/>
    <x v="4"/>
    <s v="UBER"/>
    <s v="NL"/>
    <n v="61.94"/>
    <x v="6"/>
  </r>
  <r>
    <d v="2025-11-07T00:00:00"/>
    <x v="5"/>
    <s v="School Fee"/>
    <s v="PL"/>
    <n v="996.93"/>
    <x v="7"/>
  </r>
  <r>
    <d v="2025-11-07T00:00:00"/>
    <x v="5"/>
    <s v="OPŁ. ZA WYD. I OBSŁ. KARTY PŁAT."/>
    <s v="PL"/>
    <n v="12"/>
    <x v="3"/>
  </r>
  <r>
    <d v="2025-11-17T00:00:00"/>
    <x v="5"/>
    <s v="UBER"/>
    <s v="NL"/>
    <n v="29.16"/>
    <x v="6"/>
  </r>
  <r>
    <d v="2025-11-17T00:00:00"/>
    <x v="5"/>
    <s v="UBER EATS"/>
    <s v="NL"/>
    <n v="71.05"/>
    <x v="10"/>
  </r>
  <r>
    <d v="2025-11-17T00:00:00"/>
    <x v="5"/>
    <s v="ACTION"/>
    <s v="PL"/>
    <n v="48.85"/>
    <x v="7"/>
  </r>
  <r>
    <d v="2025-11-17T00:00:00"/>
    <x v="5"/>
    <s v="PEPCO"/>
    <s v="PL"/>
    <n v="35"/>
    <x v="0"/>
  </r>
  <r>
    <d v="2025-11-17T00:00:00"/>
    <x v="5"/>
    <s v="PEPCO"/>
    <s v="PL"/>
    <n v="12"/>
    <x v="0"/>
  </r>
  <r>
    <d v="2025-11-17T00:00:00"/>
    <x v="5"/>
    <s v="BIEDRONKA"/>
    <s v="PL"/>
    <n v="307.27"/>
    <x v="2"/>
  </r>
  <r>
    <d v="2025-11-19T00:00:00"/>
    <x v="5"/>
    <s v="jakdojade.pl Poznan"/>
    <s v="PL"/>
    <n v="20"/>
    <x v="6"/>
  </r>
  <r>
    <d v="2025-11-19T00:00:00"/>
    <x v="5"/>
    <s v="BOLT"/>
    <s v="EE"/>
    <n v="33"/>
    <x v="6"/>
  </r>
  <r>
    <d v="2025-11-19T00:00:00"/>
    <x v="5"/>
    <s v="STOKROTKA NR"/>
    <s v="PL"/>
    <n v="7.38"/>
    <x v="2"/>
  </r>
  <r>
    <d v="2025-11-20T00:00:00"/>
    <x v="5"/>
    <s v="LIDL"/>
    <s v="PL"/>
    <n v="184.03"/>
    <x v="2"/>
  </r>
  <r>
    <d v="2025-11-20T00:00:00"/>
    <x v="5"/>
    <s v="P"/>
    <s v="PL"/>
    <n v="42.21"/>
    <x v="3"/>
  </r>
  <r>
    <d v="2025-11-21T00:00:00"/>
    <x v="5"/>
    <s v="LIDL"/>
    <s v="PL"/>
    <n v="23.99"/>
    <x v="2"/>
  </r>
  <r>
    <d v="2025-11-21T00:00:00"/>
    <x v="5"/>
    <s v="jakdojade.pl Poznan"/>
    <s v="PL"/>
    <n v="20"/>
    <x v="6"/>
  </r>
  <r>
    <d v="2025-11-21T00:00:00"/>
    <x v="5"/>
    <s v="BIEDRONKA"/>
    <s v="PL"/>
    <n v="174.51"/>
    <x v="2"/>
  </r>
  <r>
    <d v="2025-11-22T00:00:00"/>
    <x v="5"/>
    <s v="LIDL"/>
    <s v="PL"/>
    <n v="13.98"/>
    <x v="2"/>
  </r>
  <r>
    <d v="2025-11-22T00:00:00"/>
    <x v="5"/>
    <s v="LITTLE INDIA"/>
    <s v="PL"/>
    <n v="76"/>
    <x v="3"/>
  </r>
  <r>
    <d v="2025-11-22T00:00:00"/>
    <x v="5"/>
    <s v="LIDL"/>
    <s v="PL"/>
    <n v="12.48"/>
    <x v="2"/>
  </r>
  <r>
    <d v="2025-11-22T00:00:00"/>
    <x v="5"/>
    <s v="DM­DROGERIE MAR"/>
    <s v="PL"/>
    <n v="63.1"/>
    <x v="7"/>
  </r>
  <r>
    <d v="2025-11-22T00:00:00"/>
    <x v="5"/>
    <s v="jakdojade.pl Poznan"/>
    <s v="PL"/>
    <n v="20"/>
    <x v="6"/>
  </r>
  <r>
    <d v="2025-11-22T00:00:00"/>
    <x v="5"/>
    <s v="BOLT"/>
    <s v="EE"/>
    <n v="33"/>
    <x v="6"/>
  </r>
  <r>
    <d v="2025-11-22T00:00:00"/>
    <x v="5"/>
    <s v="PEPCO"/>
    <s v="PL"/>
    <n v="70.75"/>
    <x v="0"/>
  </r>
  <r>
    <d v="2025-11-22T00:00:00"/>
    <x v="5"/>
    <s v="PEPCO"/>
    <s v="PL"/>
    <n v="38.75"/>
    <x v="0"/>
  </r>
  <r>
    <d v="2025-11-22T00:00:00"/>
    <x v="5"/>
    <s v="INDIA STORE"/>
    <s v="PL"/>
    <n v="12.92"/>
    <x v="2"/>
  </r>
  <r>
    <d v="2025-11-22T00:00:00"/>
    <x v="5"/>
    <s v="TEDI"/>
    <s v="PL"/>
    <n v="28.5"/>
    <x v="7"/>
  </r>
  <r>
    <d v="2025-11-24T00:00:00"/>
    <x v="5"/>
    <s v="mka.malopolska.pl"/>
    <s v="PL"/>
    <n v="169"/>
    <x v="6"/>
  </r>
  <r>
    <d v="2025-11-24T00:00:00"/>
    <x v="5"/>
    <s v="mka.malopolska.pl"/>
    <s v="PL"/>
    <n v="169"/>
    <x v="6"/>
  </r>
  <r>
    <d v="2025-11-24T00:00:00"/>
    <x v="5"/>
    <s v="BIEDRONKA"/>
    <s v="PL"/>
    <n v="215.22"/>
    <x v="2"/>
  </r>
  <r>
    <d v="2025-11-25T00:00:00"/>
    <x v="5"/>
    <s v="LIDL"/>
    <s v="PL"/>
    <n v="71.010000000000005"/>
    <x v="2"/>
  </r>
  <r>
    <d v="2025-11-25T00:00:00"/>
    <x v="5"/>
    <s v="INDIA STORE"/>
    <s v="PL"/>
    <n v="16"/>
    <x v="2"/>
  </r>
  <r>
    <d v="2025-11-26T00:00:00"/>
    <x v="5"/>
    <s v="STOKROTKA NR"/>
    <s v="PL"/>
    <n v="9.2899999999999991"/>
    <x v="2"/>
  </r>
  <r>
    <d v="2025-11-26T00:00:00"/>
    <x v="5"/>
    <s v="P"/>
    <s v="PL"/>
    <n v="38.21"/>
    <x v="3"/>
  </r>
  <r>
    <d v="2025-11-28T00:00:00"/>
    <x v="5"/>
    <s v="ROSSMANN"/>
    <s v="PL"/>
    <n v="111.44"/>
    <x v="7"/>
  </r>
  <r>
    <d v="2025-11-28T00:00:00"/>
    <x v="5"/>
    <s v="LIDL"/>
    <s v="PL"/>
    <n v="227.93"/>
    <x v="2"/>
  </r>
  <r>
    <d v="2025-11-28T00:00:00"/>
    <x v="5"/>
    <s v="UBER EATS"/>
    <s v="NL"/>
    <n v="76.069999999999993"/>
    <x v="10"/>
  </r>
  <r>
    <d v="2025-11-29T00:00:00"/>
    <x v="5"/>
    <s v="Hindus Food"/>
    <s v="PL"/>
    <n v="25.31"/>
    <x v="5"/>
  </r>
  <r>
    <d v="2025-11-29T00:00:00"/>
    <x v="5"/>
    <s v="Hindus Food"/>
    <s v="PL"/>
    <n v="6"/>
    <x v="5"/>
  </r>
  <r>
    <d v="2025-11-29T00:00:00"/>
    <x v="5"/>
    <s v="GMINA MIEJSKA"/>
    <s v="PL"/>
    <n v="2"/>
    <x v="3"/>
  </r>
  <r>
    <d v="2025-11-29T00:00:00"/>
    <x v="5"/>
    <s v="Berlin Doner Kebap"/>
    <s v="PL"/>
    <n v="33.9"/>
    <x v="5"/>
  </r>
  <r>
    <d v="2025-11-29T00:00:00"/>
    <x v="5"/>
    <s v="GMINA MIEJSKA"/>
    <s v="PL"/>
    <n v="2"/>
    <x v="3"/>
  </r>
  <r>
    <d v="2025-11-29T00:00:00"/>
    <x v="5"/>
    <s v="Deichmann­Obuwie Sp.z."/>
    <s v="PL"/>
    <n v="341.96"/>
    <x v="7"/>
  </r>
  <r>
    <d v="2025-11-29T00:00:00"/>
    <x v="5"/>
    <s v="SMYK SPOLKA AKCYJNA"/>
    <s v="PL"/>
    <n v="61.98"/>
    <x v="0"/>
  </r>
  <r>
    <d v="2025-11-29T00:00:00"/>
    <x v="5"/>
    <s v="KFC "/>
    <s v="PL"/>
    <n v="26.98"/>
    <x v="5"/>
  </r>
  <r>
    <d v="2025-11-29T00:00:00"/>
    <x v="5"/>
    <s v="OPODO +"/>
    <s v="ES"/>
    <n v="39.99"/>
    <x v="6"/>
  </r>
  <r>
    <d v="2025-11-29T00:00:00"/>
    <x v="5"/>
    <s v="Glovo"/>
    <s v="PL"/>
    <n v="45.6"/>
    <x v="10"/>
  </r>
  <r>
    <d v="2025-11-29T00:00:00"/>
    <x v="5"/>
    <s v="OWOCOWY RAJ"/>
    <s v="PL"/>
    <n v="40.14"/>
    <x v="3"/>
  </r>
  <r>
    <d v="2025-11-29T00:00:00"/>
    <x v="5"/>
    <s v="BIEDRONKA"/>
    <s v="PL"/>
    <n v="12.69"/>
    <x v="2"/>
  </r>
  <r>
    <d v="2025-11-29T00:00:00"/>
    <x v="5"/>
    <s v="IKEA"/>
    <s v="PL"/>
    <n v="10.94"/>
    <x v="7"/>
  </r>
  <r>
    <d v="2025-11-30T00:00:00"/>
    <x v="5"/>
    <s v="GLOVO"/>
    <s v="PL"/>
    <n v="42.8"/>
    <x v="10"/>
  </r>
  <r>
    <d v="2025-11-30T00:00:00"/>
    <x v="5"/>
    <s v="INDIA STORE"/>
    <s v="PL"/>
    <n v="78.84"/>
    <x v="2"/>
  </r>
  <r>
    <d v="2025-11-30T00:00:00"/>
    <x v="5"/>
    <s v="CHEBUREKI.PL"/>
    <s v="PL"/>
    <n v="23"/>
    <x v="5"/>
  </r>
  <r>
    <d v="2025-12-01T00:00:00"/>
    <x v="6"/>
    <s v="BIEDRONKA"/>
    <s v="PL"/>
    <n v="81.599999999999994"/>
    <x v="2"/>
  </r>
  <r>
    <d v="2025-12-02T00:00:00"/>
    <x v="6"/>
    <s v="School Fee"/>
    <s v="PL"/>
    <n v="996.93"/>
    <x v="7"/>
  </r>
  <r>
    <d v="2025-12-02T00:00:00"/>
    <x v="6"/>
    <s v="ACTION"/>
    <s v="PL"/>
    <n v="25.53"/>
    <x v="7"/>
  </r>
  <r>
    <d v="2025-12-02T00:00:00"/>
    <x v="6"/>
    <s v="ACTION"/>
    <s v="PL"/>
    <n v="4.45"/>
    <x v="7"/>
  </r>
  <r>
    <d v="2025-12-02T00:00:00"/>
    <x v="6"/>
    <s v="BIEDRONKA"/>
    <s v="PL"/>
    <n v="161.6"/>
    <x v="2"/>
  </r>
  <r>
    <d v="2025-12-03T00:00:00"/>
    <x v="6"/>
    <s v="MPL SERVICES SP. Z O.O Balice"/>
    <s v="PL"/>
    <n v="19.75"/>
    <x v="6"/>
  </r>
  <r>
    <d v="2025-12-03T00:00:00"/>
    <x v="6"/>
    <s v="Orange Flex warszawa"/>
    <s v="PL"/>
    <n v="35"/>
    <x v="8"/>
  </r>
  <r>
    <d v="2025-12-03T00:00:00"/>
    <x v="6"/>
    <s v="Orange Flex warszawa"/>
    <s v="PL"/>
    <n v="35"/>
    <x v="8"/>
  </r>
  <r>
    <d v="2025-12-03T00:00:00"/>
    <x v="6"/>
    <s v="UBER"/>
    <s v="NL"/>
    <n v="26.58"/>
    <x v="6"/>
  </r>
  <r>
    <d v="2025-12-03T00:00:00"/>
    <x v="6"/>
    <s v="BIEDRONKA"/>
    <s v="PL"/>
    <n v="12.97"/>
    <x v="2"/>
  </r>
  <r>
    <d v="2025-12-04T00:00:00"/>
    <x v="6"/>
    <s v="ROSSMANN"/>
    <s v="PL"/>
    <n v="11.98"/>
    <x v="7"/>
  </r>
  <r>
    <d v="2025-12-04T00:00:00"/>
    <x v="6"/>
    <s v="LIDL"/>
    <s v="PL"/>
    <n v="127.59"/>
    <x v="2"/>
  </r>
  <r>
    <d v="2025-12-04T00:00:00"/>
    <x v="6"/>
    <s v="LIDL"/>
    <s v="PL"/>
    <n v="0.79"/>
    <x v="2"/>
  </r>
  <r>
    <d v="2025-12-05T00:00:00"/>
    <x v="6"/>
    <s v="LIDL"/>
    <s v="PL"/>
    <n v="97.75"/>
    <x v="2"/>
  </r>
  <r>
    <d v="2025-12-05T00:00:00"/>
    <x v="6"/>
    <s v="www.bilet.intercity.pl Warszawa"/>
    <s v="PL"/>
    <n v="236.6"/>
    <x v="6"/>
  </r>
  <r>
    <d v="2025-12-05T00:00:00"/>
    <x v="6"/>
    <s v="Glovo"/>
    <s v="PL"/>
    <n v="65.650000000000006"/>
    <x v="10"/>
  </r>
  <r>
    <d v="2025-12-06T00:00:00"/>
    <x v="6"/>
    <s v="FOOD FAMILY"/>
    <s v="PL"/>
    <n v="24"/>
    <x v="5"/>
  </r>
  <r>
    <d v="2025-12-06T00:00:00"/>
    <x v="6"/>
    <s v="Twoje Zdrowie G.Chelm Chelm"/>
    <s v="PL"/>
    <n v="24.9"/>
    <x v="7"/>
  </r>
  <r>
    <d v="2025-12-06T00:00:00"/>
    <x v="6"/>
    <s v="LITTLE INDIA"/>
    <s v="PL"/>
    <n v="55"/>
    <x v="3"/>
  </r>
  <r>
    <d v="2025-12-06T00:00:00"/>
    <x v="6"/>
    <s v="KFC "/>
    <s v="PL"/>
    <n v="7.99"/>
    <x v="5"/>
  </r>
  <r>
    <d v="2025-12-06T00:00:00"/>
    <x v="6"/>
    <s v="LIDL"/>
    <s v="PL"/>
    <n v="22.61"/>
    <x v="2"/>
  </r>
  <r>
    <d v="2025-12-06T00:00:00"/>
    <x v="6"/>
    <s v="KFC "/>
    <s v="PL"/>
    <n v="7.99"/>
    <x v="5"/>
  </r>
  <r>
    <d v="2025-12-06T00:00:00"/>
    <x v="6"/>
    <s v="Pyszne.pl W"/>
    <s v="PL"/>
    <n v="21.94"/>
    <x v="3"/>
  </r>
  <r>
    <d v="2025-12-06T00:00:00"/>
    <x v="6"/>
    <s v="BOLT"/>
    <s v="EE"/>
    <n v="63.75"/>
    <x v="6"/>
  </r>
  <r>
    <d v="2025-12-06T00:00:00"/>
    <x v="6"/>
    <s v="BIEDRONKA"/>
    <s v="PL"/>
    <n v="6.18"/>
    <x v="2"/>
  </r>
  <r>
    <d v="2025-12-06T00:00:00"/>
    <x v="6"/>
    <s v="IKEA"/>
    <s v="PL"/>
    <n v="64"/>
    <x v="7"/>
  </r>
  <r>
    <d v="2025-12-07T00:00:00"/>
    <x v="6"/>
    <s v="LIDL"/>
    <s v="PL"/>
    <n v="7.78"/>
    <x v="2"/>
  </r>
  <r>
    <d v="2025-12-07T00:00:00"/>
    <x v="6"/>
    <s v="LIDL"/>
    <s v="PL"/>
    <n v="51.36"/>
    <x v="2"/>
  </r>
  <r>
    <d v="2025-12-07T00:00:00"/>
    <x v="6"/>
    <s v="ACTION"/>
    <s v="PL"/>
    <n v="33.340000000000003"/>
    <x v="7"/>
  </r>
  <r>
    <d v="2025-12-07T00:00:00"/>
    <x v="6"/>
    <s v="ACTION"/>
    <s v="PL"/>
    <n v="147.83000000000001"/>
    <x v="7"/>
  </r>
  <r>
    <d v="2025-12-07T00:00:00"/>
    <x v="6"/>
    <s v="ACTION"/>
    <s v="PL"/>
    <n v="35.51"/>
    <x v="7"/>
  </r>
  <r>
    <d v="2025-12-07T00:00:00"/>
    <x v="6"/>
    <s v="PEPCO"/>
    <s v="PL"/>
    <n v="53"/>
    <x v="0"/>
  </r>
  <r>
    <d v="2025-12-07T00:00:00"/>
    <x v="6"/>
    <s v="PEPCO"/>
    <s v="PL"/>
    <n v="30"/>
    <x v="0"/>
  </r>
  <r>
    <d v="2025-12-07T00:00:00"/>
    <x v="6"/>
    <s v="KIK TEXTIL SP. Z O.O."/>
    <s v="PL"/>
    <n v="13"/>
    <x v="7"/>
  </r>
  <r>
    <d v="2025-12-07T00:00:00"/>
    <x v="6"/>
    <s v="TEDI"/>
    <s v="PL"/>
    <n v="79"/>
    <x v="7"/>
  </r>
  <r>
    <d v="2025-12-08T00:00:00"/>
    <x v="6"/>
    <s v="OPŁ. ZA WYD. I OBSŁ. KARTY PŁAT."/>
    <s v="PL"/>
    <n v="12"/>
    <x v="3"/>
  </r>
  <r>
    <d v="2025-12-08T00:00:00"/>
    <x v="6"/>
    <s v="LIDL"/>
    <s v="PL"/>
    <n v="11.07"/>
    <x v="2"/>
  </r>
  <r>
    <d v="2025-12-08T00:00:00"/>
    <x v="6"/>
    <s v="LYSA GORA SP. KOMAND"/>
    <s v="PL"/>
    <n v="32.9"/>
    <x v="3"/>
  </r>
  <r>
    <d v="2025-12-08T00:00:00"/>
    <x v="6"/>
    <s v="TEDI"/>
    <s v="PL"/>
    <n v="19.5"/>
    <x v="7"/>
  </r>
  <r>
    <d v="2025-12-09T00:00:00"/>
    <x v="6"/>
    <s v="MCDONALDS"/>
    <s v="PL"/>
    <n v="21.9"/>
    <x v="5"/>
  </r>
  <r>
    <d v="2025-12-09T00:00:00"/>
    <x v="6"/>
    <s v="AUCHAN"/>
    <s v="PL"/>
    <n v="4.78"/>
    <x v="2"/>
  </r>
  <r>
    <d v="2025-12-10T00:00:00"/>
    <x v="6"/>
    <s v="Deichmann­Obuwie Sp.z."/>
    <s v="PL"/>
    <n v="185.98"/>
    <x v="7"/>
  </r>
  <r>
    <d v="2025-12-10T00:00:00"/>
    <x v="6"/>
    <s v="AUCHAN"/>
    <s v="PL"/>
    <n v="4.68"/>
    <x v="2"/>
  </r>
  <r>
    <d v="2025-12-10T00:00:00"/>
    <x v="6"/>
    <s v="BIEDRONKA"/>
    <s v="PL"/>
    <n v="163.04"/>
    <x v="2"/>
  </r>
  <r>
    <d v="2025-12-10T00:00:00"/>
    <x v="6"/>
    <s v="P"/>
    <s v="PL"/>
    <n v="34.21"/>
    <x v="3"/>
  </r>
  <r>
    <d v="2025-12-11T00:00:00"/>
    <x v="6"/>
    <s v="GORACO POLECAM"/>
    <s v="PL"/>
    <n v="20.95"/>
    <x v="3"/>
  </r>
  <r>
    <d v="2025-12-12T00:00:00"/>
    <x v="6"/>
    <s v="Premium Food"/>
    <s v="PL"/>
    <n v="24.99"/>
    <x v="5"/>
  </r>
  <r>
    <d v="2025-12-12T00:00:00"/>
    <x v="6"/>
    <s v="BOLT"/>
    <s v="PL"/>
    <n v="37.520000000000003"/>
    <x v="6"/>
  </r>
  <r>
    <d v="2025-12-15T00:00:00"/>
    <x v="6"/>
    <s v="BOLT"/>
    <s v="EE"/>
    <n v="66"/>
    <x v="6"/>
  </r>
  <r>
    <d v="2025-12-16T00:00:00"/>
    <x v="6"/>
    <s v="LIDL"/>
    <s v="PL"/>
    <n v="92.91"/>
    <x v="2"/>
  </r>
  <r>
    <d v="2025-12-16T00:00:00"/>
    <x v="6"/>
    <s v="DM­DROGERIE MAR"/>
    <s v="PL"/>
    <n v="36.6"/>
    <x v="7"/>
  </r>
  <r>
    <d v="2025-12-16T00:00:00"/>
    <x v="6"/>
    <s v="BIEDRONKA"/>
    <s v="PL"/>
    <n v="52.96"/>
    <x v="2"/>
  </r>
  <r>
    <d v="2025-12-17T00:00:00"/>
    <x v="6"/>
    <s v="Habibi Restauracja"/>
    <s v="PL"/>
    <n v="38"/>
    <x v="5"/>
  </r>
  <r>
    <d v="2025-12-17T00:00:00"/>
    <x v="6"/>
    <s v="AWITEKS"/>
    <s v="PL"/>
    <n v="13.59"/>
    <x v="4"/>
  </r>
  <r>
    <d v="2025-12-19T00:00:00"/>
    <x v="6"/>
    <s v="SO COFFEE"/>
    <s v="PL"/>
    <n v="29.25"/>
    <x v="4"/>
  </r>
  <r>
    <d v="2025-12-19T00:00:00"/>
    <x v="6"/>
    <s v="LIDL"/>
    <s v="PL"/>
    <n v="9.9499999999999993"/>
    <x v="2"/>
  </r>
  <r>
    <d v="2025-12-19T00:00:00"/>
    <x v="6"/>
    <s v="DM­DROGERIE MAR"/>
    <s v="PL"/>
    <n v="46.15"/>
    <x v="7"/>
  </r>
  <r>
    <d v="2025-12-19T00:00:00"/>
    <x v="6"/>
    <s v="UBER"/>
    <s v="NL"/>
    <n v="52.95"/>
    <x v="6"/>
  </r>
  <r>
    <d v="2025-12-19T00:00:00"/>
    <x v="6"/>
    <s v="UBER EATS"/>
    <s v="NL"/>
    <n v="51.45"/>
    <x v="10"/>
  </r>
  <r>
    <d v="2025-12-19T00:00:00"/>
    <x v="6"/>
    <s v="BIEDRONKA"/>
    <s v="PL"/>
    <n v="4.68"/>
    <x v="2"/>
  </r>
  <r>
    <d v="2025-12-19T00:00:00"/>
    <x v="6"/>
    <s v="ZABKA"/>
    <s v="PL"/>
    <n v="32.97"/>
    <x v="2"/>
  </r>
  <r>
    <d v="2025-12-26T00:00:00"/>
    <x v="6"/>
    <s v="LUFTHAN"/>
    <s v="PL"/>
    <n v="85.74"/>
    <x v="3"/>
  </r>
  <r>
    <d v="2025-12-26T00:00:00"/>
    <x v="6"/>
    <s v="LUFTHAN"/>
    <s v="PL"/>
    <n v="85.74"/>
    <x v="3"/>
  </r>
  <r>
    <d v="2025-12-26T00:00:00"/>
    <x v="6"/>
    <s v="LUFTHAN"/>
    <s v="PL"/>
    <n v="85.74"/>
    <x v="3"/>
  </r>
  <r>
    <d v="2025-12-28T00:00:00"/>
    <x v="6"/>
    <s v="Warszawa Centralna PK Warszawa"/>
    <s v="PL"/>
    <n v="35"/>
    <x v="3"/>
  </r>
  <r>
    <d v="2025-12-28T00:00:00"/>
    <x v="6"/>
    <s v="Berlin Doner Kebap"/>
    <s v="PL"/>
    <n v="29.45"/>
    <x v="5"/>
  </r>
  <r>
    <d v="2025-12-28T00:00:00"/>
    <x v="6"/>
    <s v="KFC "/>
    <s v="PL"/>
    <n v="22.98"/>
    <x v="5"/>
  </r>
  <r>
    <d v="2025-12-28T00:00:00"/>
    <x v="6"/>
    <s v="KFC "/>
    <s v="PL"/>
    <n v="7.99"/>
    <x v="5"/>
  </r>
  <r>
    <d v="2025-12-28T00:00:00"/>
    <x v="6"/>
    <s v="FREENOW"/>
    <s v="PL"/>
    <n v="29.25"/>
    <x v="6"/>
  </r>
  <r>
    <d v="2025-12-28T00:00:00"/>
    <x v="6"/>
    <s v="AGATA MIERZWA NOWA WIES"/>
    <s v="LEBPL"/>
    <n v="21.31"/>
    <x v="7"/>
  </r>
  <r>
    <d v="2025-12-29T00:00:00"/>
    <x v="6"/>
    <s v="OPODO PRIME M BARCELONA"/>
    <s v="ES"/>
    <n v="39.99"/>
    <x v="3"/>
  </r>
  <r>
    <d v="2025-12-29T00:00:00"/>
    <x v="6"/>
    <s v="UBER EATS"/>
    <s v="NL"/>
    <n v="71.540000000000006"/>
    <x v="10"/>
  </r>
  <r>
    <d v="2025-12-29T00:00:00"/>
    <x v="6"/>
    <s v="BIEDRONKA"/>
    <s v="PL"/>
    <n v="301.22000000000003"/>
    <x v="2"/>
  </r>
  <r>
    <d v="2025-12-31T00:00:00"/>
    <x v="6"/>
    <s v="LIDL"/>
    <s v="PL"/>
    <n v="43.25"/>
    <x v="2"/>
  </r>
  <r>
    <d v="2025-12-31T00:00:00"/>
    <x v="6"/>
    <s v="jakdojade.pl Poznan"/>
    <s v="PL"/>
    <n v="20"/>
    <x v="6"/>
  </r>
  <r>
    <d v="2025-12-31T00:00:00"/>
    <x v="6"/>
    <s v="Glovo"/>
    <s v="PL"/>
    <n v="65.650000000000006"/>
    <x v="10"/>
  </r>
  <r>
    <d v="2025-12-31T00:00:00"/>
    <x v="6"/>
    <s v="BIEDRONKA"/>
    <s v="PL"/>
    <n v="5.78"/>
    <x v="2"/>
  </r>
  <r>
    <d v="2026-01-02T00:00:00"/>
    <x v="7"/>
    <s v="LIDL"/>
    <s v="PL"/>
    <n v="64.08"/>
    <x v="2"/>
  </r>
  <r>
    <d v="2026-01-02T00:00:00"/>
    <x v="7"/>
    <s v="jakdojade.pl Poznan"/>
    <s v="PL"/>
    <n v="20"/>
    <x v="6"/>
  </r>
  <r>
    <d v="2026-01-02T00:00:00"/>
    <x v="7"/>
    <s v="www.bilet.intercity.pl Warszawa"/>
    <s v="PL"/>
    <n v="120.3"/>
    <x v="6"/>
  </r>
  <r>
    <d v="2026-01-02T00:00:00"/>
    <x v="7"/>
    <s v="School Fee"/>
    <s v="PL"/>
    <n v="996.93"/>
    <x v="7"/>
  </r>
  <r>
    <d v="2026-01-02T00:00:00"/>
    <x v="7"/>
    <s v="Glovo"/>
    <s v="PL"/>
    <n v="74.099999999999994"/>
    <x v="10"/>
  </r>
  <r>
    <d v="2026-01-02T00:00:00"/>
    <x v="7"/>
    <s v="BIEDRONKA"/>
    <s v="PL"/>
    <n v="12.47"/>
    <x v="2"/>
  </r>
  <r>
    <d v="2026-01-02T00:00:00"/>
    <x v="7"/>
    <s v="Opodo BARCELONA"/>
    <s v="ES"/>
    <n v="433.32"/>
    <x v="3"/>
  </r>
  <r>
    <d v="2026-01-02T00:00:00"/>
    <x v="7"/>
    <s v="ZABKA"/>
    <s v="PL"/>
    <n v="17.989999999999998"/>
    <x v="2"/>
  </r>
  <r>
    <d v="2026-01-03T00:00:00"/>
    <x v="7"/>
    <s v="Orange Flex warszawa"/>
    <s v="PL"/>
    <n v="35"/>
    <x v="8"/>
  </r>
  <r>
    <d v="2026-01-03T00:00:00"/>
    <x v="7"/>
    <s v="LUFTHAN"/>
    <s v="PL"/>
    <n v="126.56"/>
    <x v="3"/>
  </r>
  <r>
    <d v="2026-01-03T00:00:00"/>
    <x v="7"/>
    <s v="UBER EATS"/>
    <s v="NL"/>
    <n v="37.4"/>
    <x v="10"/>
  </r>
  <r>
    <d v="2026-01-05T00:00:00"/>
    <x v="7"/>
    <s v="LIDL"/>
    <s v="PL"/>
    <n v="75.38"/>
    <x v="2"/>
  </r>
  <r>
    <d v="2026-01-05T00:00:00"/>
    <x v="7"/>
    <s v="jakdojade.pl Poznan"/>
    <s v="PL"/>
    <n v="25"/>
    <x v="6"/>
  </r>
  <r>
    <d v="2026-01-05T00:00:00"/>
    <x v="7"/>
    <s v="ACTION"/>
    <s v="PL"/>
    <n v="78.099999999999994"/>
    <x v="7"/>
  </r>
  <r>
    <d v="2026-01-05T00:00:00"/>
    <x v="7"/>
    <s v="BIEDRONKA"/>
    <s v="PL"/>
    <n v="49.99"/>
    <x v="2"/>
  </r>
  <r>
    <d v="2026-01-07T00:00:00"/>
    <x v="7"/>
    <s v="ROSSMANN"/>
    <s v="PL"/>
    <n v="9.99"/>
    <x v="7"/>
  </r>
  <r>
    <d v="2026-01-07T00:00:00"/>
    <x v="7"/>
    <s v="LIDL"/>
    <s v="PL"/>
    <n v="79.680000000000007"/>
    <x v="2"/>
  </r>
  <r>
    <d v="2026-01-07T00:00:00"/>
    <x v="7"/>
    <s v="DM­DROGERIE MAR"/>
    <s v="PL"/>
    <n v="71.72"/>
    <x v="7"/>
  </r>
  <r>
    <d v="2026-01-07T00:00:00"/>
    <x v="7"/>
    <s v="ACTION"/>
    <s v="PL"/>
    <n v="34.61"/>
    <x v="7"/>
  </r>
  <r>
    <d v="2026-01-07T00:00:00"/>
    <x v="7"/>
    <s v="ZABKA"/>
    <s v="PL"/>
    <n v="16"/>
    <x v="2"/>
  </r>
  <r>
    <d v="2026-01-08T00:00:00"/>
    <x v="7"/>
    <s v="OPŁ. ZA WYD. I OBSŁ. KARTY PŁAT."/>
    <s v="PL"/>
    <n v="12"/>
    <x v="3"/>
  </r>
  <r>
    <m/>
    <x v="8"/>
    <m/>
    <m/>
    <m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A8905F-6246-D840-A110-AF41CC755DF9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7:Q16" firstHeaderRow="0" firstDataRow="1" firstDataCol="1"/>
  <pivotFields count="6">
    <pivotField showAll="0"/>
    <pivotField axis="axisRow" showAll="0">
      <items count="10">
        <item x="7"/>
        <item x="0"/>
        <item x="1"/>
        <item x="2"/>
        <item x="3"/>
        <item x="4"/>
        <item x="5"/>
        <item x="6"/>
        <item h="1" x="8"/>
        <item t="default"/>
      </items>
    </pivotField>
    <pivotField showAll="0"/>
    <pivotField showAll="0"/>
    <pivotField dataField="1" showAll="0"/>
    <pivotField showAll="0">
      <items count="13">
        <item x="0"/>
        <item x="4"/>
        <item x="5"/>
        <item x="10"/>
        <item x="2"/>
        <item x="7"/>
        <item x="3"/>
        <item x="1"/>
        <item x="8"/>
        <item x="9"/>
        <item x="6"/>
        <item x="11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4" baseField="0" baseItem="0"/>
    <dataField name="% of amount per month" fld="4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6D1E5D-6315-2A4B-8B94-42C1B7D38107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7:M19" firstHeaderRow="0" firstDataRow="1" firstDataCol="1"/>
  <pivotFields count="6">
    <pivotField showAll="0"/>
    <pivotField showAll="0"/>
    <pivotField showAll="0"/>
    <pivotField showAll="0"/>
    <pivotField dataField="1" showAll="0"/>
    <pivotField axis="axisRow" showAll="0">
      <items count="13">
        <item x="0"/>
        <item x="4"/>
        <item x="5"/>
        <item x="10"/>
        <item x="2"/>
        <item x="7"/>
        <item x="3"/>
        <item x="1"/>
        <item x="8"/>
        <item x="9"/>
        <item x="6"/>
        <item h="1" x="11"/>
        <item t="default"/>
      </items>
    </pivotField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mount" fld="4" baseField="0" baseItem="0"/>
    <dataField name="Count" fld="4" subtotal="count" baseField="0" baseItem="0"/>
    <dataField name="% of total" fld="4" showDataAs="percentOfTotal" baseField="0" baseItem="0" numFmtId="10"/>
  </dataFields>
  <conditionalFormats count="2">
    <conditionalFormat priority="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5" count="1">
              <x v="2"/>
            </reference>
          </references>
        </pivotArea>
      </pivotAreas>
    </conditionalFormat>
    <conditionalFormat priority="6">
      <pivotAreas count="1">
        <pivotArea outline="0" fieldPosition="0">
          <references count="1">
            <reference field="4294967294" count="1">
              <x v="0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63FD8226-D342-944B-BDEA-C57B75BDEAFE}" autoFormatId="16" applyNumberFormats="0" applyBorderFormats="0" applyFontFormats="0" applyPatternFormats="0" applyAlignmentFormats="0" applyWidthHeightFormats="0">
  <queryTableRefresh nextId="4">
    <queryTableFields count="3">
      <queryTableField id="1" name="Category ID" tableColumnId="1"/>
      <queryTableField id="2" name="Category" tableColumnId="2"/>
      <queryTableField id="3" name="Shop nam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1D11BD5-C692-A949-982D-F6EA09D75645}" autoFormatId="16" applyNumberFormats="0" applyBorderFormats="0" applyFontFormats="0" applyPatternFormats="0" applyAlignmentFormats="0" applyWidthHeightFormats="0">
  <queryTableRefresh nextId="7">
    <queryTableFields count="3">
      <queryTableField id="1" name="Category ID" tableColumnId="1"/>
      <queryTableField id="2" name="Category" tableColumnId="2"/>
      <queryTableField id="3" name="Shop name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BCDB8A-9907-CD45-92EF-6C3D35315793}" name="raw_data_23" displayName="raw_data_23" ref="A1:F639" totalsRowShown="0">
  <autoFilter ref="A1:F639" xr:uid="{6BBCDB8A-9907-CD45-92EF-6C3D35315793}"/>
  <tableColumns count="6">
    <tableColumn id="1" xr3:uid="{DDD899D2-D2C5-5E4F-B8EA-5A72EE1B8704}" name="Date" dataDxfId="11"/>
    <tableColumn id="6" xr3:uid="{A78AD414-B1B5-4849-BD02-22FF36C63435}" name="Months" dataDxfId="10">
      <calculatedColumnFormula>TEXT(A2,"mmmm")</calculatedColumnFormula>
    </tableColumn>
    <tableColumn id="2" xr3:uid="{FC4511E2-1A56-2243-AB43-B9C07F887902}" name="Location" dataDxfId="13"/>
    <tableColumn id="3" xr3:uid="{F743F5CA-EC60-624D-ADC4-D8133E936E4A}" name="Country" dataDxfId="12"/>
    <tableColumn id="4" xr3:uid="{616AC163-24AE-0A47-9974-6885E8F939D5}" name="Amount"/>
    <tableColumn id="5" xr3:uid="{C21FD2EE-4FBC-E045-B58C-E447CC3B0EEC}" name="Category" dataDxfId="0">
      <calculatedColumnFormula>_xlfn.XLOOKUP(raw_data_23[[#This Row],[Location]],Category[[#This Row],[Shop name]],Category[[#This Row],[Category]],"OCCATIONAL",0,1)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C0D1EC3-BEBA-C446-B57E-B3D39620EE48}" name="Table2" displayName="Table2" ref="A1:C121" tableType="queryTable" totalsRowShown="0">
  <autoFilter ref="A1:C121" xr:uid="{EC0D1EC3-BEBA-C446-B57E-B3D39620EE48}"/>
  <tableColumns count="3">
    <tableColumn id="1" xr3:uid="{1D4374B1-D55E-F544-AA6C-BBC83CE5FC8E}" uniqueName="1" name="Category ID" queryTableFieldId="1"/>
    <tableColumn id="2" xr3:uid="{CF3F94A2-13BA-0A41-A26C-8710C410A573}" uniqueName="2" name="Category" queryTableFieldId="2" dataDxfId="2"/>
    <tableColumn id="3" xr3:uid="{973E3C44-1860-B54E-B08E-18A1563F8DBE}" uniqueName="3" name="Shop name" queryTableFieldId="3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CA3D6B5-8F9C-1D44-A6CF-817D2766C1B7}" name="Category" displayName="Category" ref="A1:C115" tableType="queryTable" totalsRowShown="0">
  <autoFilter ref="A1:C115" xr:uid="{9CA3D6B5-8F9C-1D44-A6CF-817D2766C1B7}"/>
  <tableColumns count="3">
    <tableColumn id="1" xr3:uid="{B291C1A9-361E-9F4E-88C3-D9CE81FA76F5}" uniqueName="1" name="Category ID" queryTableFieldId="1"/>
    <tableColumn id="2" xr3:uid="{5C467B6B-47CC-9B43-9803-AE67164A7CAC}" uniqueName="2" name="Category" queryTableFieldId="2" dataDxfId="4"/>
    <tableColumn id="3" xr3:uid="{1680FEAF-A85C-3248-B703-2E5F6749A2B7}" uniqueName="3" name="Shop name" queryTableFieldId="3" dataDxf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7607524-B6CC-1146-9F9A-8B8EE0051861}" name="Table5" displayName="Table5" ref="E2:F12" totalsRowShown="0">
  <autoFilter ref="E2:F12" xr:uid="{97607524-B6CC-1146-9F9A-8B8EE0051861}"/>
  <tableColumns count="2">
    <tableColumn id="1" xr3:uid="{687EF71E-36E5-554C-91CA-7CD69FC6D7C4}" name="Category Id" dataDxfId="9"/>
    <tableColumn id="2" xr3:uid="{10442AB0-EE7A-E04F-B46E-87CA8DCD7915}" name="Category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A334E-C195-7F4B-AD0A-1349C21A0CDF}">
  <dimension ref="A1:Q639"/>
  <sheetViews>
    <sheetView workbookViewId="0">
      <selection activeCell="H7" sqref="H7"/>
    </sheetView>
  </sheetViews>
  <sheetFormatPr baseColWidth="10" defaultRowHeight="16" x14ac:dyDescent="0.2"/>
  <cols>
    <col min="1" max="1" width="16.5" style="7" bestFit="1" customWidth="1"/>
    <col min="2" max="2" width="10.1640625" customWidth="1"/>
    <col min="3" max="3" width="34.83203125" bestFit="1" customWidth="1"/>
    <col min="4" max="5" width="10.1640625" bestFit="1" customWidth="1"/>
    <col min="6" max="6" width="14.83203125" style="12" bestFit="1" customWidth="1"/>
    <col min="10" max="10" width="14.83203125" bestFit="1" customWidth="1"/>
    <col min="11" max="11" width="13.6640625" bestFit="1" customWidth="1"/>
    <col min="12" max="12" width="6.1640625" bestFit="1" customWidth="1"/>
    <col min="13" max="13" width="8.83203125" bestFit="1" customWidth="1"/>
    <col min="15" max="15" width="13" bestFit="1" customWidth="1"/>
    <col min="16" max="16" width="13.6640625" bestFit="1" customWidth="1"/>
    <col min="17" max="17" width="20.1640625" bestFit="1" customWidth="1"/>
  </cols>
  <sheetData>
    <row r="1" spans="1:17" x14ac:dyDescent="0.2">
      <c r="A1" s="7" t="s">
        <v>0</v>
      </c>
      <c r="B1" t="s">
        <v>186</v>
      </c>
      <c r="C1" t="s">
        <v>2</v>
      </c>
      <c r="D1" t="s">
        <v>3</v>
      </c>
      <c r="E1" t="s">
        <v>1</v>
      </c>
      <c r="F1" s="12" t="s">
        <v>157</v>
      </c>
      <c r="O1" s="9"/>
    </row>
    <row r="2" spans="1:17" x14ac:dyDescent="0.2">
      <c r="A2" s="7">
        <v>45814</v>
      </c>
      <c r="B2" s="2" t="str">
        <f t="shared" ref="B2:B65" si="0">TEXT(A2,"mmmm")</f>
        <v>June</v>
      </c>
      <c r="C2" s="2" t="s">
        <v>181</v>
      </c>
      <c r="D2" s="2" t="s">
        <v>19</v>
      </c>
      <c r="E2">
        <v>29.98</v>
      </c>
      <c r="F2" s="12" t="str">
        <f>_xlfn.XLOOKUP(raw_data_23[[#This Row],[Location]],Table2[Shop name],Table2[Category],"OCCATIONAL",0,1)</f>
        <v>CLOTHING</v>
      </c>
      <c r="O2" s="9"/>
    </row>
    <row r="3" spans="1:17" x14ac:dyDescent="0.2">
      <c r="A3" s="7">
        <v>45814</v>
      </c>
      <c r="B3" s="2" t="str">
        <f t="shared" si="0"/>
        <v>June</v>
      </c>
      <c r="C3" s="2" t="s">
        <v>20</v>
      </c>
      <c r="D3" s="2" t="s">
        <v>19</v>
      </c>
      <c r="E3">
        <v>15</v>
      </c>
      <c r="F3" s="12" t="str">
        <f>_xlfn.XLOOKUP(raw_data_23[[#This Row],[Location]],Category[[#This Row],[Shop name]],Category[[#This Row],[Category]],"OCCATIONAL",0,1)</f>
        <v>OCCATIONAL</v>
      </c>
      <c r="O3" s="9"/>
    </row>
    <row r="4" spans="1:17" x14ac:dyDescent="0.2">
      <c r="A4" s="7">
        <v>45814</v>
      </c>
      <c r="B4" s="2" t="str">
        <f t="shared" si="0"/>
        <v>June</v>
      </c>
      <c r="C4" s="2" t="s">
        <v>37</v>
      </c>
      <c r="D4" s="2" t="s">
        <v>19</v>
      </c>
      <c r="E4">
        <v>288.48</v>
      </c>
      <c r="F4" s="12" t="str">
        <f>_xlfn.XLOOKUP(raw_data_23[[#This Row],[Location]],Table2[Shop name],Table2[Category],"OCCATIONAL",0,1)</f>
        <v>GROCERIES</v>
      </c>
      <c r="O4" s="10"/>
    </row>
    <row r="5" spans="1:17" x14ac:dyDescent="0.2">
      <c r="A5" s="7">
        <v>45815</v>
      </c>
      <c r="B5" s="2" t="str">
        <f t="shared" si="0"/>
        <v>June</v>
      </c>
      <c r="C5" s="2" t="s">
        <v>40</v>
      </c>
      <c r="D5" s="2" t="s">
        <v>19</v>
      </c>
      <c r="E5">
        <v>100.58</v>
      </c>
      <c r="F5" s="12" t="str">
        <f>_xlfn.XLOOKUP(raw_data_23[[#This Row],[Location]],Table2[Shop name],Table2[Category],"OCCATIONAL",0,1)</f>
        <v>GROCERIES</v>
      </c>
      <c r="J5" s="8" t="s">
        <v>196</v>
      </c>
      <c r="O5" s="11" t="s">
        <v>197</v>
      </c>
    </row>
    <row r="6" spans="1:17" x14ac:dyDescent="0.2">
      <c r="A6" s="7">
        <v>45815</v>
      </c>
      <c r="B6" s="2" t="str">
        <f t="shared" si="0"/>
        <v>June</v>
      </c>
      <c r="C6" s="2" t="s">
        <v>41</v>
      </c>
      <c r="D6" s="2" t="s">
        <v>19</v>
      </c>
      <c r="E6">
        <v>22</v>
      </c>
      <c r="F6" s="12" t="str">
        <f>_xlfn.XLOOKUP(raw_data_23[[#This Row],[Location]],Table2[Shop name],Table2[Category],"OCCATIONAL",0,1)</f>
        <v>COFFEE SHOP</v>
      </c>
      <c r="J6" s="1"/>
      <c r="O6" s="3"/>
    </row>
    <row r="7" spans="1:17" x14ac:dyDescent="0.2">
      <c r="A7" s="7">
        <v>45815</v>
      </c>
      <c r="B7" s="2" t="str">
        <f t="shared" si="0"/>
        <v>June</v>
      </c>
      <c r="C7" s="2" t="s">
        <v>151</v>
      </c>
      <c r="D7" s="2" t="s">
        <v>19</v>
      </c>
      <c r="E7">
        <v>263.43</v>
      </c>
      <c r="F7" s="12" t="str">
        <f>_xlfn.XLOOKUP(raw_data_23[[#This Row],[Location]],Table2[Shop name],Table2[Category],"OCCATIONAL",0,1)</f>
        <v>OCCATIONAL</v>
      </c>
      <c r="J7" s="4" t="s">
        <v>176</v>
      </c>
      <c r="K7" t="s">
        <v>179</v>
      </c>
      <c r="L7" t="s">
        <v>180</v>
      </c>
      <c r="M7" t="s">
        <v>185</v>
      </c>
      <c r="O7" s="4" t="s">
        <v>176</v>
      </c>
      <c r="P7" t="s">
        <v>179</v>
      </c>
      <c r="Q7" t="s">
        <v>195</v>
      </c>
    </row>
    <row r="8" spans="1:17" x14ac:dyDescent="0.2">
      <c r="A8" s="7">
        <v>45815</v>
      </c>
      <c r="B8" s="2" t="str">
        <f t="shared" si="0"/>
        <v>June</v>
      </c>
      <c r="C8" s="2" t="s">
        <v>42</v>
      </c>
      <c r="D8" s="2" t="s">
        <v>19</v>
      </c>
      <c r="E8">
        <v>49</v>
      </c>
      <c r="F8" s="12" t="str">
        <f>_xlfn.XLOOKUP(raw_data_23[[#This Row],[Location]],Table2[Shop name],Table2[Category],"OCCATIONAL",0,1)</f>
        <v>FOOD</v>
      </c>
      <c r="J8" s="5" t="s">
        <v>171</v>
      </c>
      <c r="K8" s="2">
        <v>2796.27</v>
      </c>
      <c r="L8" s="2">
        <v>33</v>
      </c>
      <c r="M8" s="6">
        <v>6.5709768519976341E-2</v>
      </c>
      <c r="O8" s="5" t="s">
        <v>187</v>
      </c>
      <c r="P8" s="2">
        <v>2390.619999999999</v>
      </c>
      <c r="Q8" s="6">
        <v>5.6177367285428742E-2</v>
      </c>
    </row>
    <row r="9" spans="1:17" x14ac:dyDescent="0.2">
      <c r="A9" s="7">
        <v>45815</v>
      </c>
      <c r="B9" s="2" t="str">
        <f t="shared" si="0"/>
        <v>June</v>
      </c>
      <c r="C9" s="2" t="s">
        <v>43</v>
      </c>
      <c r="D9" s="2" t="s">
        <v>19</v>
      </c>
      <c r="E9">
        <v>11.9</v>
      </c>
      <c r="F9" s="12" t="str">
        <f>_xlfn.XLOOKUP(raw_data_23[[#This Row],[Location]],Table2[Shop name],Table2[Category],"OCCATIONAL",0,1)</f>
        <v>FOOD</v>
      </c>
      <c r="J9" s="5" t="s">
        <v>167</v>
      </c>
      <c r="K9" s="2">
        <v>638.85</v>
      </c>
      <c r="L9" s="2">
        <v>27</v>
      </c>
      <c r="M9" s="6">
        <v>1.5012386364330657E-2</v>
      </c>
      <c r="O9" s="5" t="s">
        <v>188</v>
      </c>
      <c r="P9" s="2">
        <v>8128.6799999999967</v>
      </c>
      <c r="Q9" s="6">
        <v>0.19101649024341757</v>
      </c>
    </row>
    <row r="10" spans="1:17" x14ac:dyDescent="0.2">
      <c r="A10" s="7">
        <v>45815</v>
      </c>
      <c r="B10" s="2" t="str">
        <f t="shared" si="0"/>
        <v>June</v>
      </c>
      <c r="C10" s="2" t="s">
        <v>21</v>
      </c>
      <c r="D10" s="2" t="s">
        <v>19</v>
      </c>
      <c r="E10">
        <v>25</v>
      </c>
      <c r="F10" s="12" t="str">
        <f>_xlfn.XLOOKUP(raw_data_23[[#This Row],[Location]],Table2[Shop name],Table2[Category],"OCCATIONAL",0,1)</f>
        <v>TRAVEL</v>
      </c>
      <c r="J10" s="5" t="s">
        <v>165</v>
      </c>
      <c r="K10" s="2">
        <v>2372.3199999999993</v>
      </c>
      <c r="L10" s="2">
        <v>76</v>
      </c>
      <c r="M10" s="6">
        <v>5.5747334147028087E-2</v>
      </c>
      <c r="O10" s="5" t="s">
        <v>189</v>
      </c>
      <c r="P10" s="2">
        <v>6593.9299999999976</v>
      </c>
      <c r="Q10" s="6">
        <v>0.15495127936033631</v>
      </c>
    </row>
    <row r="11" spans="1:17" x14ac:dyDescent="0.2">
      <c r="A11" s="7">
        <v>45815</v>
      </c>
      <c r="B11" s="2" t="str">
        <f t="shared" si="0"/>
        <v>June</v>
      </c>
      <c r="C11" s="2" t="s">
        <v>44</v>
      </c>
      <c r="D11" s="2" t="s">
        <v>19</v>
      </c>
      <c r="E11">
        <v>26.9</v>
      </c>
      <c r="F11" s="12" t="str">
        <f>_xlfn.XLOOKUP(raw_data_23[[#This Row],[Location]],Table2[Shop name],Table2[Category],"OCCATIONAL",0,1)</f>
        <v>OCCATIONAL</v>
      </c>
      <c r="J11" s="5" t="s">
        <v>163</v>
      </c>
      <c r="K11" s="2">
        <v>1711.8000000000002</v>
      </c>
      <c r="L11" s="2">
        <v>29</v>
      </c>
      <c r="M11" s="6">
        <v>4.0225722749411004E-2</v>
      </c>
      <c r="O11" s="5" t="s">
        <v>190</v>
      </c>
      <c r="P11" s="2">
        <v>5698.6899999999987</v>
      </c>
      <c r="Q11" s="6">
        <v>0.13391396423346244</v>
      </c>
    </row>
    <row r="12" spans="1:17" x14ac:dyDescent="0.2">
      <c r="A12" s="7">
        <v>45815</v>
      </c>
      <c r="B12" s="2" t="str">
        <f t="shared" si="0"/>
        <v>June</v>
      </c>
      <c r="C12" s="2" t="s">
        <v>37</v>
      </c>
      <c r="D12" s="2" t="s">
        <v>19</v>
      </c>
      <c r="E12">
        <v>7.14</v>
      </c>
      <c r="F12" s="12" t="str">
        <f>_xlfn.XLOOKUP(raw_data_23[[#This Row],[Location]],Table2[Shop name],Table2[Category],"OCCATIONAL",0,1)</f>
        <v>GROCERIES</v>
      </c>
      <c r="J12" s="5" t="s">
        <v>169</v>
      </c>
      <c r="K12" s="2">
        <v>13631.13</v>
      </c>
      <c r="L12" s="2">
        <v>189</v>
      </c>
      <c r="M12" s="6">
        <v>0.3203189952921946</v>
      </c>
      <c r="O12" s="5" t="s">
        <v>191</v>
      </c>
      <c r="P12" s="2">
        <v>7645.1699999999946</v>
      </c>
      <c r="Q12" s="6">
        <v>0.17965445074898609</v>
      </c>
    </row>
    <row r="13" spans="1:17" x14ac:dyDescent="0.2">
      <c r="A13" s="7">
        <v>45815</v>
      </c>
      <c r="B13" s="2" t="str">
        <f t="shared" si="0"/>
        <v>June</v>
      </c>
      <c r="C13" s="2" t="s">
        <v>45</v>
      </c>
      <c r="D13" s="2" t="s">
        <v>19</v>
      </c>
      <c r="E13">
        <v>25.5</v>
      </c>
      <c r="F13" s="12" t="str">
        <f>_xlfn.XLOOKUP(raw_data_23[[#This Row],[Location]],Table2[Shop name],Table2[Category],"OCCATIONAL",0,1)</f>
        <v>FOOD</v>
      </c>
      <c r="J13" s="5" t="s">
        <v>170</v>
      </c>
      <c r="K13" s="2">
        <v>9210.0099999999984</v>
      </c>
      <c r="L13" s="2">
        <v>77</v>
      </c>
      <c r="M13" s="6">
        <v>0.21642674890717534</v>
      </c>
      <c r="O13" s="5" t="s">
        <v>192</v>
      </c>
      <c r="P13" s="2">
        <v>3073.0499999999993</v>
      </c>
      <c r="Q13" s="6">
        <v>7.2213843495196578E-2</v>
      </c>
    </row>
    <row r="14" spans="1:17" x14ac:dyDescent="0.2">
      <c r="A14" s="7">
        <v>45815</v>
      </c>
      <c r="B14" s="2" t="str">
        <f t="shared" si="0"/>
        <v>June</v>
      </c>
      <c r="C14" s="2" t="s">
        <v>46</v>
      </c>
      <c r="D14" s="2" t="s">
        <v>19</v>
      </c>
      <c r="E14">
        <v>37</v>
      </c>
      <c r="F14" s="12" t="str">
        <f>_xlfn.XLOOKUP(raw_data_23[[#This Row],[Location]],Table2[Shop name],Table2[Category],"OCCATIONAL",0,1)</f>
        <v>FOOD</v>
      </c>
      <c r="J14" s="5" t="s">
        <v>177</v>
      </c>
      <c r="K14" s="2">
        <v>5104.2099999999982</v>
      </c>
      <c r="L14" s="2">
        <v>74</v>
      </c>
      <c r="M14" s="6">
        <v>0.11994423198666378</v>
      </c>
      <c r="O14" s="5" t="s">
        <v>193</v>
      </c>
      <c r="P14" s="2">
        <v>4284.1599999999989</v>
      </c>
      <c r="Q14" s="6">
        <v>0.10067381257980877</v>
      </c>
    </row>
    <row r="15" spans="1:17" x14ac:dyDescent="0.2">
      <c r="A15" s="7">
        <v>45815</v>
      </c>
      <c r="B15" s="2" t="str">
        <f t="shared" si="0"/>
        <v>June</v>
      </c>
      <c r="C15" s="2" t="s">
        <v>38</v>
      </c>
      <c r="D15" s="2" t="s">
        <v>19</v>
      </c>
      <c r="E15">
        <v>12.88</v>
      </c>
      <c r="F15" s="12" t="str">
        <f>_xlfn.XLOOKUP(raw_data_23[[#This Row],[Location]],Table2[Shop name],Table2[Category],"OCCATIONAL",0,1)</f>
        <v>GROCERIES</v>
      </c>
      <c r="J15" s="5" t="s">
        <v>175</v>
      </c>
      <c r="K15" s="2">
        <v>1422.8999999999999</v>
      </c>
      <c r="L15" s="2">
        <v>16</v>
      </c>
      <c r="M15" s="6">
        <v>3.3436838941545102E-2</v>
      </c>
      <c r="O15" s="5" t="s">
        <v>194</v>
      </c>
      <c r="P15" s="2">
        <v>4740.5599999999977</v>
      </c>
      <c r="Q15" s="6">
        <v>0.11139879205336359</v>
      </c>
    </row>
    <row r="16" spans="1:17" x14ac:dyDescent="0.2">
      <c r="A16" s="7">
        <v>45816</v>
      </c>
      <c r="B16" s="2" t="str">
        <f t="shared" si="0"/>
        <v>June</v>
      </c>
      <c r="C16" s="2" t="s">
        <v>47</v>
      </c>
      <c r="D16" s="2" t="s">
        <v>19</v>
      </c>
      <c r="E16">
        <v>8.49</v>
      </c>
      <c r="F16" s="12" t="str">
        <f>_xlfn.XLOOKUP(raw_data_23[[#This Row],[Location]],Table2[Shop name],Table2[Category],"OCCATIONAL",0,1)</f>
        <v>GROCERIES</v>
      </c>
      <c r="J16" s="5" t="s">
        <v>164</v>
      </c>
      <c r="K16" s="2">
        <v>238</v>
      </c>
      <c r="L16" s="2">
        <v>7</v>
      </c>
      <c r="M16" s="6">
        <v>5.592780707068477E-3</v>
      </c>
      <c r="O16" s="5" t="s">
        <v>178</v>
      </c>
      <c r="P16" s="2">
        <v>42554.859999999979</v>
      </c>
      <c r="Q16" s="6">
        <v>1</v>
      </c>
    </row>
    <row r="17" spans="1:13" x14ac:dyDescent="0.2">
      <c r="A17" s="7">
        <v>45817</v>
      </c>
      <c r="B17" s="2" t="str">
        <f t="shared" si="0"/>
        <v>June</v>
      </c>
      <c r="C17" s="2" t="s">
        <v>48</v>
      </c>
      <c r="D17" s="2" t="s">
        <v>19</v>
      </c>
      <c r="E17">
        <v>11</v>
      </c>
      <c r="F17" s="12" t="str">
        <f>_xlfn.XLOOKUP(raw_data_23[[#This Row],[Location]],Table2[Shop name],Table2[Category],"OCCATIONAL",0,1)</f>
        <v>GROCERIES</v>
      </c>
      <c r="J17" s="5" t="s">
        <v>168</v>
      </c>
      <c r="K17" s="2">
        <v>275.05</v>
      </c>
      <c r="L17" s="2">
        <v>6</v>
      </c>
      <c r="M17" s="6">
        <v>6.4634215692402717E-3</v>
      </c>
    </row>
    <row r="18" spans="1:13" x14ac:dyDescent="0.2">
      <c r="A18" s="7">
        <v>45817</v>
      </c>
      <c r="B18" s="2" t="str">
        <f t="shared" si="0"/>
        <v>June</v>
      </c>
      <c r="C18" s="2" t="s">
        <v>49</v>
      </c>
      <c r="D18" s="2" t="s">
        <v>19</v>
      </c>
      <c r="E18">
        <v>40.799999999999997</v>
      </c>
      <c r="F18" s="12" t="str">
        <f>_xlfn.XLOOKUP(raw_data_23[[#This Row],[Location]],Table2[Shop name],Table2[Category],"OCCATIONAL",0,1)</f>
        <v>COFFEE SHOP</v>
      </c>
      <c r="J18" s="5" t="s">
        <v>172</v>
      </c>
      <c r="K18" s="2">
        <v>5154.32</v>
      </c>
      <c r="L18" s="2">
        <v>104</v>
      </c>
      <c r="M18" s="6">
        <v>0.12112177081536635</v>
      </c>
    </row>
    <row r="19" spans="1:13" x14ac:dyDescent="0.2">
      <c r="A19" s="7">
        <v>45817</v>
      </c>
      <c r="B19" s="2" t="str">
        <f t="shared" si="0"/>
        <v>June</v>
      </c>
      <c r="C19" s="2" t="s">
        <v>32</v>
      </c>
      <c r="D19" s="2" t="s">
        <v>19</v>
      </c>
      <c r="E19">
        <v>747.19</v>
      </c>
      <c r="F19" s="12" t="str">
        <f>_xlfn.XLOOKUP(raw_data_23[[#This Row],[Location]],Table2[Shop name],Table2[Category],"OCCATIONAL",0,1)</f>
        <v>HOME NEEDS</v>
      </c>
      <c r="J19" s="5" t="s">
        <v>178</v>
      </c>
      <c r="K19" s="2">
        <v>42554.859999999993</v>
      </c>
      <c r="L19" s="2">
        <v>638</v>
      </c>
      <c r="M19" s="6">
        <v>1</v>
      </c>
    </row>
    <row r="20" spans="1:13" x14ac:dyDescent="0.2">
      <c r="A20" s="7">
        <v>45818</v>
      </c>
      <c r="B20" s="2" t="str">
        <f t="shared" si="0"/>
        <v>June</v>
      </c>
      <c r="C20" s="2" t="s">
        <v>39</v>
      </c>
      <c r="D20" s="2" t="s">
        <v>19</v>
      </c>
      <c r="E20">
        <v>27.97</v>
      </c>
      <c r="F20" s="12" t="str">
        <f>_xlfn.XLOOKUP(raw_data_23[[#This Row],[Location]],Table2[Shop name],Table2[Category],"OCCATIONAL",0,1)</f>
        <v>CLOTHING</v>
      </c>
    </row>
    <row r="21" spans="1:13" x14ac:dyDescent="0.2">
      <c r="A21" s="7">
        <v>45818</v>
      </c>
      <c r="B21" s="2" t="str">
        <f t="shared" si="0"/>
        <v>June</v>
      </c>
      <c r="C21" s="2" t="s">
        <v>50</v>
      </c>
      <c r="D21" s="2" t="s">
        <v>19</v>
      </c>
      <c r="E21">
        <v>8</v>
      </c>
      <c r="F21" s="12" t="str">
        <f>_xlfn.XLOOKUP(raw_data_23[[#This Row],[Location]],Table2[Shop name],Table2[Category],"OCCATIONAL",0,1)</f>
        <v>COFFEE SHOP</v>
      </c>
    </row>
    <row r="22" spans="1:13" x14ac:dyDescent="0.2">
      <c r="A22" s="7">
        <v>45818</v>
      </c>
      <c r="B22" s="2" t="str">
        <f t="shared" si="0"/>
        <v>June</v>
      </c>
      <c r="C22" s="2" t="s">
        <v>51</v>
      </c>
      <c r="D22" s="2" t="s">
        <v>19</v>
      </c>
      <c r="E22">
        <v>50.05</v>
      </c>
      <c r="F22" s="12" t="str">
        <f>_xlfn.XLOOKUP(raw_data_23[[#This Row],[Location]],Table2[Shop name],Table2[Category],"OCCATIONAL",0,1)</f>
        <v>GROCERIES</v>
      </c>
    </row>
    <row r="23" spans="1:13" x14ac:dyDescent="0.2">
      <c r="A23" s="7">
        <v>45818</v>
      </c>
      <c r="B23" s="2" t="str">
        <f t="shared" si="0"/>
        <v>June</v>
      </c>
      <c r="C23" s="2" t="s">
        <v>47</v>
      </c>
      <c r="D23" s="2" t="s">
        <v>19</v>
      </c>
      <c r="E23">
        <v>8.49</v>
      </c>
      <c r="F23" s="12" t="str">
        <f>_xlfn.XLOOKUP(raw_data_23[[#This Row],[Location]],Table2[Shop name],Table2[Category],"OCCATIONAL",0,1)</f>
        <v>GROCERIES</v>
      </c>
    </row>
    <row r="24" spans="1:13" x14ac:dyDescent="0.2">
      <c r="A24" s="7">
        <v>45818</v>
      </c>
      <c r="B24" s="2" t="str">
        <f t="shared" si="0"/>
        <v>June</v>
      </c>
      <c r="C24" s="2" t="s">
        <v>37</v>
      </c>
      <c r="D24" s="2" t="s">
        <v>19</v>
      </c>
      <c r="E24">
        <v>8.9700000000000006</v>
      </c>
      <c r="F24" s="12" t="str">
        <f>_xlfn.XLOOKUP(raw_data_23[[#This Row],[Location]],Table2[Shop name],Table2[Category],"OCCATIONAL",0,1)</f>
        <v>GROCERIES</v>
      </c>
    </row>
    <row r="25" spans="1:13" x14ac:dyDescent="0.2">
      <c r="A25" s="7">
        <v>45819</v>
      </c>
      <c r="B25" s="2" t="str">
        <f t="shared" si="0"/>
        <v>June</v>
      </c>
      <c r="C25" s="2" t="s">
        <v>21</v>
      </c>
      <c r="D25" s="2" t="s">
        <v>19</v>
      </c>
      <c r="E25">
        <v>25</v>
      </c>
      <c r="F25" s="12" t="str">
        <f>_xlfn.XLOOKUP(raw_data_23[[#This Row],[Location]],Table2[Shop name],Table2[Category],"OCCATIONAL",0,1)</f>
        <v>TRAVEL</v>
      </c>
      <c r="J25" s="2"/>
    </row>
    <row r="26" spans="1:13" x14ac:dyDescent="0.2">
      <c r="A26" s="7">
        <v>45819</v>
      </c>
      <c r="B26" s="2" t="str">
        <f t="shared" si="0"/>
        <v>June</v>
      </c>
      <c r="C26" s="2" t="s">
        <v>20</v>
      </c>
      <c r="D26" s="2" t="s">
        <v>19</v>
      </c>
      <c r="E26">
        <v>41.11</v>
      </c>
      <c r="F26" s="12" t="str">
        <f>_xlfn.XLOOKUP(raw_data_23[[#This Row],[Location]],Table2[Shop name],Table2[Category],"OCCATIONAL",0,1)</f>
        <v>ONLINE ORDERS</v>
      </c>
      <c r="J26" s="2"/>
    </row>
    <row r="27" spans="1:13" x14ac:dyDescent="0.2">
      <c r="A27" s="7">
        <v>45819</v>
      </c>
      <c r="B27" s="2" t="str">
        <f t="shared" si="0"/>
        <v>June</v>
      </c>
      <c r="C27" s="2" t="s">
        <v>37</v>
      </c>
      <c r="D27" s="2" t="s">
        <v>19</v>
      </c>
      <c r="E27">
        <v>147.32</v>
      </c>
      <c r="F27" s="12" t="str">
        <f>_xlfn.XLOOKUP(raw_data_23[[#This Row],[Location]],Table2[Shop name],Table2[Category],"OCCATIONAL",0,1)</f>
        <v>GROCERIES</v>
      </c>
      <c r="J27" s="2"/>
    </row>
    <row r="28" spans="1:13" x14ac:dyDescent="0.2">
      <c r="A28" s="7">
        <v>45819</v>
      </c>
      <c r="B28" s="2" t="str">
        <f t="shared" si="0"/>
        <v>June</v>
      </c>
      <c r="C28" s="2" t="s">
        <v>37</v>
      </c>
      <c r="D28" s="2" t="s">
        <v>19</v>
      </c>
      <c r="E28">
        <v>9.18</v>
      </c>
      <c r="F28" s="12" t="str">
        <f>_xlfn.XLOOKUP(raw_data_23[[#This Row],[Location]],Table2[Shop name],Table2[Category],"OCCATIONAL",0,1)</f>
        <v>GROCERIES</v>
      </c>
      <c r="J28" s="2"/>
    </row>
    <row r="29" spans="1:13" x14ac:dyDescent="0.2">
      <c r="A29" s="7">
        <v>45820</v>
      </c>
      <c r="B29" s="2" t="str">
        <f t="shared" si="0"/>
        <v>June</v>
      </c>
      <c r="C29" s="2" t="s">
        <v>39</v>
      </c>
      <c r="D29" s="2" t="s">
        <v>19</v>
      </c>
      <c r="E29">
        <v>33.950000000000003</v>
      </c>
      <c r="F29" s="12" t="str">
        <f>_xlfn.XLOOKUP(raw_data_23[[#This Row],[Location]],Table2[Shop name],Table2[Category],"OCCATIONAL",0,1)</f>
        <v>CLOTHING</v>
      </c>
      <c r="J29" s="2"/>
    </row>
    <row r="30" spans="1:13" x14ac:dyDescent="0.2">
      <c r="A30" s="7">
        <v>45820</v>
      </c>
      <c r="B30" s="2" t="str">
        <f t="shared" si="0"/>
        <v>June</v>
      </c>
      <c r="C30" s="2" t="s">
        <v>146</v>
      </c>
      <c r="D30" s="2" t="s">
        <v>19</v>
      </c>
      <c r="E30">
        <v>5.96</v>
      </c>
      <c r="F30" s="12" t="str">
        <f>_xlfn.XLOOKUP(raw_data_23[[#This Row],[Location]],Table2[Shop name],Table2[Category],"OCCATIONAL",0,1)</f>
        <v>GROCERIES</v>
      </c>
      <c r="J30" s="2"/>
    </row>
    <row r="31" spans="1:13" x14ac:dyDescent="0.2">
      <c r="A31" s="7">
        <v>45821</v>
      </c>
      <c r="B31" s="2" t="str">
        <f t="shared" si="0"/>
        <v>June</v>
      </c>
      <c r="C31" s="2" t="s">
        <v>52</v>
      </c>
      <c r="D31" s="2" t="s">
        <v>19</v>
      </c>
      <c r="E31">
        <v>138.29</v>
      </c>
      <c r="F31" s="12" t="str">
        <f>_xlfn.XLOOKUP(raw_data_23[[#This Row],[Location]],Table2[Shop name],Table2[Category],"OCCATIONAL",0,1)</f>
        <v>OCCATIONAL</v>
      </c>
      <c r="J31" s="2"/>
    </row>
    <row r="32" spans="1:13" x14ac:dyDescent="0.2">
      <c r="A32" s="7">
        <v>45821</v>
      </c>
      <c r="B32" s="2" t="str">
        <f t="shared" si="0"/>
        <v>June</v>
      </c>
      <c r="C32" s="2" t="s">
        <v>49</v>
      </c>
      <c r="D32" s="2" t="s">
        <v>19</v>
      </c>
      <c r="E32">
        <v>35.71</v>
      </c>
      <c r="F32" s="12" t="str">
        <f>_xlfn.XLOOKUP(raw_data_23[[#This Row],[Location]],Table2[Shop name],Table2[Category],"OCCATIONAL",0,1)</f>
        <v>COFFEE SHOP</v>
      </c>
      <c r="J32" s="2"/>
    </row>
    <row r="33" spans="1:12" x14ac:dyDescent="0.2">
      <c r="A33" s="7">
        <v>45821</v>
      </c>
      <c r="B33" s="2" t="str">
        <f t="shared" si="0"/>
        <v>June</v>
      </c>
      <c r="C33" s="2" t="s">
        <v>43</v>
      </c>
      <c r="D33" s="2" t="s">
        <v>19</v>
      </c>
      <c r="E33">
        <v>15</v>
      </c>
      <c r="F33" s="12" t="str">
        <f>_xlfn.XLOOKUP(raw_data_23[[#This Row],[Location]],Table2[Shop name],Table2[Category],"OCCATIONAL",0,1)</f>
        <v>FOOD</v>
      </c>
      <c r="J33" s="2"/>
    </row>
    <row r="34" spans="1:12" x14ac:dyDescent="0.2">
      <c r="A34" s="7">
        <v>45821</v>
      </c>
      <c r="B34" s="2" t="str">
        <f t="shared" si="0"/>
        <v>June</v>
      </c>
      <c r="C34" s="2" t="s">
        <v>53</v>
      </c>
      <c r="D34" s="2" t="s">
        <v>19</v>
      </c>
      <c r="E34">
        <v>15.44</v>
      </c>
      <c r="F34" s="12" t="str">
        <f>_xlfn.XLOOKUP(raw_data_23[[#This Row],[Location]],Table2[Shop name],Table2[Category],"OCCATIONAL",0,1)</f>
        <v>HOME NEEDS</v>
      </c>
      <c r="J34" s="2"/>
      <c r="K34" s="2"/>
      <c r="L34" s="2"/>
    </row>
    <row r="35" spans="1:12" x14ac:dyDescent="0.2">
      <c r="A35" s="7">
        <v>45821</v>
      </c>
      <c r="B35" s="2" t="str">
        <f t="shared" si="0"/>
        <v>June</v>
      </c>
      <c r="C35" s="2" t="s">
        <v>34</v>
      </c>
      <c r="D35" s="2" t="s">
        <v>4</v>
      </c>
      <c r="E35">
        <v>32.25</v>
      </c>
      <c r="F35" s="12" t="str">
        <f>_xlfn.XLOOKUP(raw_data_23[[#This Row],[Location]],Table2[Shop name],Table2[Category],"OCCATIONAL",0,1)</f>
        <v>TRAVEL</v>
      </c>
      <c r="J35" s="2"/>
      <c r="K35" s="2"/>
      <c r="L35" s="2"/>
    </row>
    <row r="36" spans="1:12" x14ac:dyDescent="0.2">
      <c r="A36" s="7">
        <v>45821</v>
      </c>
      <c r="B36" s="2" t="str">
        <f t="shared" si="0"/>
        <v>June</v>
      </c>
      <c r="C36" s="2" t="s">
        <v>54</v>
      </c>
      <c r="D36" s="2" t="s">
        <v>19</v>
      </c>
      <c r="E36">
        <v>4</v>
      </c>
      <c r="F36" s="12" t="str">
        <f>_xlfn.XLOOKUP(raw_data_23[[#This Row],[Location]],Table2[Shop name],Table2[Category],"OCCATIONAL",0,1)</f>
        <v>OCCATIONAL</v>
      </c>
      <c r="J36" s="2"/>
      <c r="K36" s="2"/>
      <c r="L36" s="2"/>
    </row>
    <row r="37" spans="1:12" x14ac:dyDescent="0.2">
      <c r="A37" s="7">
        <v>45821</v>
      </c>
      <c r="B37" s="2" t="str">
        <f t="shared" si="0"/>
        <v>June</v>
      </c>
      <c r="C37" s="2" t="s">
        <v>37</v>
      </c>
      <c r="D37" s="2" t="s">
        <v>19</v>
      </c>
      <c r="E37">
        <v>3.34</v>
      </c>
      <c r="F37" s="12" t="str">
        <f>_xlfn.XLOOKUP(raw_data_23[[#This Row],[Location]],Table2[Shop name],Table2[Category],"OCCATIONAL",0,1)</f>
        <v>GROCERIES</v>
      </c>
      <c r="J37" s="2"/>
      <c r="K37" s="2"/>
      <c r="L37" s="2"/>
    </row>
    <row r="38" spans="1:12" x14ac:dyDescent="0.2">
      <c r="A38" s="7">
        <v>45822</v>
      </c>
      <c r="B38" s="2" t="str">
        <f t="shared" si="0"/>
        <v>June</v>
      </c>
      <c r="C38" s="2" t="s">
        <v>48</v>
      </c>
      <c r="D38" s="2" t="s">
        <v>19</v>
      </c>
      <c r="E38">
        <v>12</v>
      </c>
      <c r="F38" s="12" t="str">
        <f>_xlfn.XLOOKUP(raw_data_23[[#This Row],[Location]],Table2[Shop name],Table2[Category],"OCCATIONAL",0,1)</f>
        <v>GROCERIES</v>
      </c>
      <c r="J38" s="2"/>
      <c r="K38" s="2"/>
      <c r="L38" s="2"/>
    </row>
    <row r="39" spans="1:12" x14ac:dyDescent="0.2">
      <c r="A39" s="7">
        <v>45822</v>
      </c>
      <c r="B39" s="2" t="str">
        <f t="shared" si="0"/>
        <v>June</v>
      </c>
      <c r="C39" s="2" t="s">
        <v>55</v>
      </c>
      <c r="D39" s="2" t="s">
        <v>19</v>
      </c>
      <c r="E39">
        <v>37</v>
      </c>
      <c r="F39" s="12" t="str">
        <f>_xlfn.XLOOKUP(raw_data_23[[#This Row],[Location]],Table2[Shop name],Table2[Category],"OCCATIONAL",0,1)</f>
        <v>FOOD</v>
      </c>
      <c r="J39" s="2"/>
      <c r="K39" s="2"/>
      <c r="L39" s="2"/>
    </row>
    <row r="40" spans="1:12" x14ac:dyDescent="0.2">
      <c r="A40" s="7">
        <v>45822</v>
      </c>
      <c r="B40" s="2" t="str">
        <f t="shared" si="0"/>
        <v>June</v>
      </c>
      <c r="C40" s="2" t="s">
        <v>40</v>
      </c>
      <c r="D40" s="2" t="s">
        <v>19</v>
      </c>
      <c r="E40">
        <v>65</v>
      </c>
      <c r="F40" s="12" t="str">
        <f>_xlfn.XLOOKUP(raw_data_23[[#This Row],[Location]],Table2[Shop name],Table2[Category],"OCCATIONAL",0,1)</f>
        <v>GROCERIES</v>
      </c>
      <c r="J40" s="2"/>
      <c r="K40" s="2"/>
      <c r="L40" s="2"/>
    </row>
    <row r="41" spans="1:12" x14ac:dyDescent="0.2">
      <c r="A41" s="7">
        <v>45822</v>
      </c>
      <c r="B41" s="2" t="str">
        <f t="shared" si="0"/>
        <v>June</v>
      </c>
      <c r="C41" s="2" t="s">
        <v>56</v>
      </c>
      <c r="D41" s="2" t="s">
        <v>19</v>
      </c>
      <c r="E41">
        <v>5.65</v>
      </c>
      <c r="F41" s="12" t="str">
        <f>_xlfn.XLOOKUP(raw_data_23[[#This Row],[Location]],Table2[Shop name],Table2[Category],"OCCATIONAL",0,1)</f>
        <v>HOME NEEDS</v>
      </c>
      <c r="J41" s="2"/>
      <c r="K41" s="2"/>
      <c r="L41" s="2"/>
    </row>
    <row r="42" spans="1:12" x14ac:dyDescent="0.2">
      <c r="A42" s="7">
        <v>45822</v>
      </c>
      <c r="B42" s="2" t="str">
        <f t="shared" si="0"/>
        <v>June</v>
      </c>
      <c r="C42" s="2" t="s">
        <v>21</v>
      </c>
      <c r="D42" s="2" t="s">
        <v>19</v>
      </c>
      <c r="E42">
        <v>25</v>
      </c>
      <c r="F42" s="12" t="str">
        <f>_xlfn.XLOOKUP(raw_data_23[[#This Row],[Location]],Table2[Shop name],Table2[Category],"OCCATIONAL",0,1)</f>
        <v>TRAVEL</v>
      </c>
      <c r="J42" s="2"/>
      <c r="K42" s="2"/>
      <c r="L42" s="2"/>
    </row>
    <row r="43" spans="1:12" x14ac:dyDescent="0.2">
      <c r="A43" s="7">
        <v>45822</v>
      </c>
      <c r="B43" s="2" t="str">
        <f t="shared" si="0"/>
        <v>June</v>
      </c>
      <c r="C43" s="2" t="s">
        <v>57</v>
      </c>
      <c r="D43" s="2" t="s">
        <v>19</v>
      </c>
      <c r="E43">
        <v>23.5</v>
      </c>
      <c r="F43" s="12" t="str">
        <f>_xlfn.XLOOKUP(raw_data_23[[#This Row],[Location]],Table2[Shop name],Table2[Category],"OCCATIONAL",0,1)</f>
        <v>FOOD</v>
      </c>
      <c r="J43" s="2"/>
      <c r="K43" s="2"/>
    </row>
    <row r="44" spans="1:12" x14ac:dyDescent="0.2">
      <c r="A44" s="7">
        <v>45822</v>
      </c>
      <c r="B44" s="2" t="str">
        <f t="shared" si="0"/>
        <v>June</v>
      </c>
      <c r="C44" s="2" t="s">
        <v>37</v>
      </c>
      <c r="D44" s="2" t="s">
        <v>19</v>
      </c>
      <c r="E44">
        <v>256.20999999999998</v>
      </c>
      <c r="F44" s="12" t="str">
        <f>_xlfn.XLOOKUP(raw_data_23[[#This Row],[Location]],Table2[Shop name],Table2[Category],"OCCATIONAL",0,1)</f>
        <v>GROCERIES</v>
      </c>
      <c r="J44" s="2"/>
      <c r="K44" s="2"/>
      <c r="L44" s="2"/>
    </row>
    <row r="45" spans="1:12" x14ac:dyDescent="0.2">
      <c r="A45" s="7">
        <v>45822</v>
      </c>
      <c r="B45" s="2" t="str">
        <f t="shared" si="0"/>
        <v>June</v>
      </c>
      <c r="C45" s="2" t="s">
        <v>58</v>
      </c>
      <c r="D45" s="2" t="s">
        <v>19</v>
      </c>
      <c r="E45">
        <v>101</v>
      </c>
      <c r="F45" s="12" t="str">
        <f>_xlfn.XLOOKUP(raw_data_23[[#This Row],[Location]],Table2[Shop name],Table2[Category],"OCCATIONAL",0,1)</f>
        <v>FOOD</v>
      </c>
      <c r="J45" s="2"/>
      <c r="K45" s="2"/>
      <c r="L45" s="2"/>
    </row>
    <row r="46" spans="1:12" x14ac:dyDescent="0.2">
      <c r="A46" s="7">
        <v>45822</v>
      </c>
      <c r="B46" s="2" t="str">
        <f t="shared" si="0"/>
        <v>June</v>
      </c>
      <c r="C46" s="2" t="s">
        <v>38</v>
      </c>
      <c r="D46" s="2" t="s">
        <v>19</v>
      </c>
      <c r="E46">
        <v>6.6</v>
      </c>
      <c r="F46" s="12" t="str">
        <f>_xlfn.XLOOKUP(raw_data_23[[#This Row],[Location]],Table2[Shop name],Table2[Category],"OCCATIONAL",0,1)</f>
        <v>GROCERIES</v>
      </c>
      <c r="J46" s="2"/>
      <c r="K46" s="2"/>
      <c r="L46" s="2"/>
    </row>
    <row r="47" spans="1:12" x14ac:dyDescent="0.2">
      <c r="A47" s="7">
        <v>45823</v>
      </c>
      <c r="B47" s="2" t="str">
        <f t="shared" si="0"/>
        <v>June</v>
      </c>
      <c r="C47" s="2" t="s">
        <v>34</v>
      </c>
      <c r="D47" s="2" t="s">
        <v>4</v>
      </c>
      <c r="E47">
        <v>32.25</v>
      </c>
      <c r="F47" s="12" t="str">
        <f>_xlfn.XLOOKUP(raw_data_23[[#This Row],[Location]],Table2[Shop name],Table2[Category],"OCCATIONAL",0,1)</f>
        <v>TRAVEL</v>
      </c>
      <c r="J47" s="2"/>
      <c r="K47" s="2"/>
      <c r="L47" s="2"/>
    </row>
    <row r="48" spans="1:12" x14ac:dyDescent="0.2">
      <c r="A48" s="7">
        <v>45823</v>
      </c>
      <c r="B48" s="2" t="str">
        <f t="shared" si="0"/>
        <v>June</v>
      </c>
      <c r="C48" s="2" t="s">
        <v>59</v>
      </c>
      <c r="D48" s="2" t="s">
        <v>19</v>
      </c>
      <c r="E48">
        <v>16</v>
      </c>
      <c r="F48" s="12" t="str">
        <f>_xlfn.XLOOKUP(raw_data_23[[#This Row],[Location]],Table2[Shop name],Table2[Category],"OCCATIONAL",0,1)</f>
        <v>OCCATIONAL</v>
      </c>
      <c r="J48" s="2"/>
      <c r="K48" s="2"/>
      <c r="L48" s="2"/>
    </row>
    <row r="49" spans="1:12" x14ac:dyDescent="0.2">
      <c r="A49" s="7">
        <v>45823</v>
      </c>
      <c r="B49" s="2" t="str">
        <f t="shared" si="0"/>
        <v>June</v>
      </c>
      <c r="C49" s="2" t="s">
        <v>38</v>
      </c>
      <c r="D49" s="2" t="s">
        <v>19</v>
      </c>
      <c r="E49">
        <v>4.4000000000000004</v>
      </c>
      <c r="F49" s="12" t="str">
        <f>_xlfn.XLOOKUP(raw_data_23[[#This Row],[Location]],Table2[Shop name],Table2[Category],"OCCATIONAL",0,1)</f>
        <v>GROCERIES</v>
      </c>
      <c r="J49" s="2"/>
      <c r="K49" s="2"/>
      <c r="L49" s="2"/>
    </row>
    <row r="50" spans="1:12" x14ac:dyDescent="0.2">
      <c r="A50" s="7">
        <v>45824</v>
      </c>
      <c r="B50" s="2" t="str">
        <f t="shared" si="0"/>
        <v>June</v>
      </c>
      <c r="C50" s="2" t="s">
        <v>48</v>
      </c>
      <c r="D50" s="2" t="s">
        <v>19</v>
      </c>
      <c r="E50">
        <v>48</v>
      </c>
      <c r="F50" s="12" t="str">
        <f>_xlfn.XLOOKUP(raw_data_23[[#This Row],[Location]],Table2[Shop name],Table2[Category],"OCCATIONAL",0,1)</f>
        <v>GROCERIES</v>
      </c>
      <c r="J50" s="2"/>
      <c r="K50" s="2"/>
      <c r="L50" s="2"/>
    </row>
    <row r="51" spans="1:12" x14ac:dyDescent="0.2">
      <c r="A51" s="7">
        <v>45824</v>
      </c>
      <c r="B51" s="2" t="str">
        <f t="shared" si="0"/>
        <v>June</v>
      </c>
      <c r="C51" s="2" t="s">
        <v>51</v>
      </c>
      <c r="D51" s="2" t="s">
        <v>19</v>
      </c>
      <c r="E51">
        <v>90.78</v>
      </c>
      <c r="F51" s="12" t="str">
        <f>_xlfn.XLOOKUP(raw_data_23[[#This Row],[Location]],Table2[Shop name],Table2[Category],"OCCATIONAL",0,1)</f>
        <v>GROCERIES</v>
      </c>
      <c r="J51" s="2"/>
      <c r="K51" s="2"/>
      <c r="L51" s="2"/>
    </row>
    <row r="52" spans="1:12" x14ac:dyDescent="0.2">
      <c r="A52" s="7">
        <v>45824</v>
      </c>
      <c r="B52" s="2" t="str">
        <f t="shared" si="0"/>
        <v>June</v>
      </c>
      <c r="C52" s="2" t="s">
        <v>21</v>
      </c>
      <c r="D52" s="2" t="s">
        <v>19</v>
      </c>
      <c r="E52">
        <v>25</v>
      </c>
      <c r="F52" s="12" t="str">
        <f>_xlfn.XLOOKUP(raw_data_23[[#This Row],[Location]],Table2[Shop name],Table2[Category],"OCCATIONAL",0,1)</f>
        <v>TRAVEL</v>
      </c>
      <c r="J52" s="2"/>
      <c r="K52" s="2"/>
      <c r="L52" s="2"/>
    </row>
    <row r="53" spans="1:12" x14ac:dyDescent="0.2">
      <c r="A53" s="7">
        <v>45825</v>
      </c>
      <c r="B53" s="2" t="str">
        <f t="shared" si="0"/>
        <v>June</v>
      </c>
      <c r="C53" s="2" t="s">
        <v>37</v>
      </c>
      <c r="D53" s="2" t="s">
        <v>19</v>
      </c>
      <c r="E53">
        <v>196.39</v>
      </c>
      <c r="F53" s="12" t="str">
        <f>_xlfn.XLOOKUP(raw_data_23[[#This Row],[Location]],Table2[Shop name],Table2[Category],"OCCATIONAL",0,1)</f>
        <v>GROCERIES</v>
      </c>
      <c r="J53" s="2"/>
      <c r="K53" s="2"/>
      <c r="L53" s="2"/>
    </row>
    <row r="54" spans="1:12" x14ac:dyDescent="0.2">
      <c r="A54" s="7">
        <v>45826</v>
      </c>
      <c r="B54" s="2" t="str">
        <f t="shared" si="0"/>
        <v>June</v>
      </c>
      <c r="C54" s="2" t="s">
        <v>48</v>
      </c>
      <c r="D54" s="2" t="s">
        <v>19</v>
      </c>
      <c r="E54">
        <v>12</v>
      </c>
      <c r="F54" s="12" t="str">
        <f>_xlfn.XLOOKUP(raw_data_23[[#This Row],[Location]],Table2[Shop name],Table2[Category],"OCCATIONAL",0,1)</f>
        <v>GROCERIES</v>
      </c>
      <c r="J54" s="2"/>
      <c r="K54" s="2"/>
      <c r="L54" s="2"/>
    </row>
    <row r="55" spans="1:12" x14ac:dyDescent="0.2">
      <c r="A55" s="7">
        <v>45826</v>
      </c>
      <c r="B55" s="2" t="str">
        <f t="shared" si="0"/>
        <v>June</v>
      </c>
      <c r="C55" s="2" t="s">
        <v>39</v>
      </c>
      <c r="D55" s="2" t="s">
        <v>19</v>
      </c>
      <c r="E55">
        <v>42.64</v>
      </c>
      <c r="F55" s="12" t="str">
        <f>_xlfn.XLOOKUP(raw_data_23[[#This Row],[Location]],Table2[Shop name],Table2[Category],"OCCATIONAL",0,1)</f>
        <v>CLOTHING</v>
      </c>
      <c r="J55" s="2"/>
      <c r="K55" s="2"/>
      <c r="L55" s="2"/>
    </row>
    <row r="56" spans="1:12" x14ac:dyDescent="0.2">
      <c r="A56" s="7">
        <v>45826</v>
      </c>
      <c r="B56" s="2" t="str">
        <f t="shared" si="0"/>
        <v>June</v>
      </c>
      <c r="C56" s="2" t="s">
        <v>50</v>
      </c>
      <c r="D56" s="2" t="s">
        <v>19</v>
      </c>
      <c r="E56">
        <v>8.5</v>
      </c>
      <c r="F56" s="12" t="str">
        <f>_xlfn.XLOOKUP(raw_data_23[[#This Row],[Location]],Table2[Shop name],Table2[Category],"OCCATIONAL",0,1)</f>
        <v>COFFEE SHOP</v>
      </c>
      <c r="J56" s="2"/>
      <c r="K56" s="2"/>
      <c r="L56" s="2"/>
    </row>
    <row r="57" spans="1:12" x14ac:dyDescent="0.2">
      <c r="A57" s="7">
        <v>45826</v>
      </c>
      <c r="B57" s="2" t="str">
        <f t="shared" si="0"/>
        <v>June</v>
      </c>
      <c r="C57" s="2" t="s">
        <v>146</v>
      </c>
      <c r="D57" s="2" t="s">
        <v>19</v>
      </c>
      <c r="E57">
        <v>52.63</v>
      </c>
      <c r="F57" s="12" t="str">
        <f>_xlfn.XLOOKUP(raw_data_23[[#This Row],[Location]],Table2[Shop name],Table2[Category],"OCCATIONAL",0,1)</f>
        <v>GROCERIES</v>
      </c>
      <c r="J57" s="2"/>
      <c r="K57" s="2"/>
      <c r="L57" s="2"/>
    </row>
    <row r="58" spans="1:12" x14ac:dyDescent="0.2">
      <c r="A58" s="7">
        <v>45826</v>
      </c>
      <c r="B58" s="2" t="str">
        <f t="shared" si="0"/>
        <v>June</v>
      </c>
      <c r="C58" s="2" t="s">
        <v>37</v>
      </c>
      <c r="D58" s="2" t="s">
        <v>19</v>
      </c>
      <c r="E58">
        <v>59.82</v>
      </c>
      <c r="F58" s="12" t="str">
        <f>_xlfn.XLOOKUP(raw_data_23[[#This Row],[Location]],Table2[Shop name],Table2[Category],"OCCATIONAL",0,1)</f>
        <v>GROCERIES</v>
      </c>
      <c r="J58" s="2"/>
      <c r="K58" s="2"/>
      <c r="L58" s="2"/>
    </row>
    <row r="59" spans="1:12" x14ac:dyDescent="0.2">
      <c r="A59" s="7">
        <v>45827</v>
      </c>
      <c r="B59" s="2" t="str">
        <f t="shared" si="0"/>
        <v>June</v>
      </c>
      <c r="C59" s="2" t="s">
        <v>21</v>
      </c>
      <c r="D59" s="2" t="s">
        <v>19</v>
      </c>
      <c r="E59">
        <v>20</v>
      </c>
      <c r="F59" s="12" t="str">
        <f>_xlfn.XLOOKUP(raw_data_23[[#This Row],[Location]],Table2[Shop name],Table2[Category],"OCCATIONAL",0,1)</f>
        <v>TRAVEL</v>
      </c>
      <c r="J59" s="2"/>
      <c r="K59" s="2"/>
      <c r="L59" s="2"/>
    </row>
    <row r="60" spans="1:12" x14ac:dyDescent="0.2">
      <c r="A60" s="7">
        <v>45827</v>
      </c>
      <c r="B60" s="2" t="str">
        <f t="shared" si="0"/>
        <v>June</v>
      </c>
      <c r="C60" s="2" t="s">
        <v>21</v>
      </c>
      <c r="D60" s="2" t="s">
        <v>19</v>
      </c>
      <c r="E60">
        <v>25</v>
      </c>
      <c r="F60" s="12" t="str">
        <f>_xlfn.XLOOKUP(raw_data_23[[#This Row],[Location]],Table2[Shop name],Table2[Category],"OCCATIONAL",0,1)</f>
        <v>TRAVEL</v>
      </c>
      <c r="J60" s="2"/>
      <c r="K60" s="2"/>
      <c r="L60" s="2"/>
    </row>
    <row r="61" spans="1:12" x14ac:dyDescent="0.2">
      <c r="A61" s="7">
        <v>45827</v>
      </c>
      <c r="B61" s="2" t="str">
        <f t="shared" si="0"/>
        <v>June</v>
      </c>
      <c r="C61" s="2" t="s">
        <v>60</v>
      </c>
      <c r="D61" s="2" t="s">
        <v>5</v>
      </c>
      <c r="E61">
        <v>574.58000000000004</v>
      </c>
      <c r="F61" s="12" t="str">
        <f>_xlfn.XLOOKUP(raw_data_23[[#This Row],[Location]],Table2[Shop name],Table2[Category],"OCCATIONAL",0,1)</f>
        <v>TRAVEL</v>
      </c>
      <c r="J61" s="2"/>
      <c r="K61" s="2"/>
      <c r="L61" s="2"/>
    </row>
    <row r="62" spans="1:12" x14ac:dyDescent="0.2">
      <c r="A62" s="7">
        <v>45827</v>
      </c>
      <c r="B62" s="2" t="str">
        <f t="shared" si="0"/>
        <v>June</v>
      </c>
      <c r="C62" s="2" t="s">
        <v>34</v>
      </c>
      <c r="D62" s="2" t="s">
        <v>4</v>
      </c>
      <c r="E62">
        <v>37.1</v>
      </c>
      <c r="F62" s="12" t="str">
        <f>_xlfn.XLOOKUP(raw_data_23[[#This Row],[Location]],Table2[Shop name],Table2[Category],"OCCATIONAL",0,1)</f>
        <v>TRAVEL</v>
      </c>
      <c r="J62" s="2"/>
      <c r="K62" s="2"/>
      <c r="L62" s="2"/>
    </row>
    <row r="63" spans="1:12" x14ac:dyDescent="0.2">
      <c r="A63" s="7">
        <v>45827</v>
      </c>
      <c r="B63" s="2" t="str">
        <f t="shared" si="0"/>
        <v>June</v>
      </c>
      <c r="C63" s="2" t="s">
        <v>44</v>
      </c>
      <c r="D63" s="2" t="s">
        <v>19</v>
      </c>
      <c r="E63">
        <v>26.9</v>
      </c>
      <c r="F63" s="12" t="str">
        <f>_xlfn.XLOOKUP(raw_data_23[[#This Row],[Location]],Table2[Shop name],Table2[Category],"OCCATIONAL",0,1)</f>
        <v>OCCATIONAL</v>
      </c>
      <c r="J63" s="2"/>
      <c r="K63" s="2"/>
      <c r="L63" s="2"/>
    </row>
    <row r="64" spans="1:12" x14ac:dyDescent="0.2">
      <c r="A64" s="7">
        <v>45827</v>
      </c>
      <c r="B64" s="2" t="str">
        <f t="shared" si="0"/>
        <v>June</v>
      </c>
      <c r="C64" s="2" t="s">
        <v>38</v>
      </c>
      <c r="D64" s="2" t="s">
        <v>19</v>
      </c>
      <c r="E64">
        <v>9.9</v>
      </c>
      <c r="F64" s="12" t="str">
        <f>_xlfn.XLOOKUP(raw_data_23[[#This Row],[Location]],Table2[Shop name],Table2[Category],"OCCATIONAL",0,1)</f>
        <v>GROCERIES</v>
      </c>
      <c r="J64" s="2"/>
      <c r="K64" s="2"/>
      <c r="L64" s="2"/>
    </row>
    <row r="65" spans="1:12" x14ac:dyDescent="0.2">
      <c r="A65" s="7">
        <v>45828</v>
      </c>
      <c r="B65" s="2" t="str">
        <f t="shared" si="0"/>
        <v>June</v>
      </c>
      <c r="C65" s="2" t="s">
        <v>61</v>
      </c>
      <c r="D65" s="2" t="s">
        <v>19</v>
      </c>
      <c r="E65">
        <v>24.3</v>
      </c>
      <c r="F65" s="12" t="str">
        <f>_xlfn.XLOOKUP(raw_data_23[[#This Row],[Location]],Table2[Shop name],Table2[Category],"OCCATIONAL",0,1)</f>
        <v>OCCATIONAL</v>
      </c>
      <c r="J65" s="2"/>
      <c r="L65" s="2"/>
    </row>
    <row r="66" spans="1:12" x14ac:dyDescent="0.2">
      <c r="A66" s="7">
        <v>45828</v>
      </c>
      <c r="B66" s="2" t="str">
        <f t="shared" ref="B66:B129" si="1">TEXT(A66,"mmmm")</f>
        <v>June</v>
      </c>
      <c r="C66" s="2" t="s">
        <v>161</v>
      </c>
      <c r="D66" s="2" t="s">
        <v>19</v>
      </c>
      <c r="E66">
        <v>206.16</v>
      </c>
      <c r="F66" s="12" t="str">
        <f>_xlfn.XLOOKUP(raw_data_23[[#This Row],[Location]],Table2[Shop name],Table2[Category],"OCCATIONAL",0,1)</f>
        <v>CLOTHING</v>
      </c>
      <c r="J66" s="2"/>
      <c r="K66" s="2"/>
      <c r="L66" s="2"/>
    </row>
    <row r="67" spans="1:12" x14ac:dyDescent="0.2">
      <c r="A67" s="7">
        <v>45828</v>
      </c>
      <c r="B67" s="2" t="str">
        <f t="shared" si="1"/>
        <v>June</v>
      </c>
      <c r="C67" s="2" t="s">
        <v>62</v>
      </c>
      <c r="D67" s="2" t="s">
        <v>19</v>
      </c>
      <c r="E67">
        <v>102.2</v>
      </c>
      <c r="F67" s="12" t="str">
        <f>_xlfn.XLOOKUP(raw_data_23[[#This Row],[Location]],Table2[Shop name],Table2[Category],"OCCATIONAL",0,1)</f>
        <v>HOME NEEDS</v>
      </c>
      <c r="J67" s="2"/>
      <c r="K67" s="2"/>
      <c r="L67" s="2"/>
    </row>
    <row r="68" spans="1:12" x14ac:dyDescent="0.2">
      <c r="A68" s="7">
        <v>45828</v>
      </c>
      <c r="B68" s="2" t="str">
        <f t="shared" si="1"/>
        <v>June</v>
      </c>
      <c r="C68" s="2" t="s">
        <v>43</v>
      </c>
      <c r="D68" s="2" t="s">
        <v>19</v>
      </c>
      <c r="E68">
        <v>11.9</v>
      </c>
      <c r="F68" s="12" t="str">
        <f>_xlfn.XLOOKUP(raw_data_23[[#This Row],[Location]],Table2[Shop name],Table2[Category],"OCCATIONAL",0,1)</f>
        <v>FOOD</v>
      </c>
      <c r="J68" s="2"/>
      <c r="K68" s="2"/>
      <c r="L68" s="2"/>
    </row>
    <row r="69" spans="1:12" x14ac:dyDescent="0.2">
      <c r="A69" s="7">
        <v>45828</v>
      </c>
      <c r="B69" s="2" t="str">
        <f t="shared" si="1"/>
        <v>June</v>
      </c>
      <c r="C69" s="2" t="s">
        <v>151</v>
      </c>
      <c r="D69" s="2" t="s">
        <v>19</v>
      </c>
      <c r="E69">
        <v>304.94</v>
      </c>
      <c r="F69" s="12" t="str">
        <f>_xlfn.XLOOKUP(raw_data_23[[#This Row],[Location]],Table2[Shop name],Table2[Category],"OCCATIONAL",0,1)</f>
        <v>OCCATIONAL</v>
      </c>
      <c r="J69" s="2"/>
      <c r="K69" s="2"/>
      <c r="L69" s="2"/>
    </row>
    <row r="70" spans="1:12" x14ac:dyDescent="0.2">
      <c r="A70" s="7">
        <v>45828</v>
      </c>
      <c r="B70" s="2" t="str">
        <f t="shared" si="1"/>
        <v>June</v>
      </c>
      <c r="C70" s="2" t="s">
        <v>44</v>
      </c>
      <c r="D70" s="2" t="s">
        <v>19</v>
      </c>
      <c r="E70">
        <v>27.8</v>
      </c>
      <c r="F70" s="12" t="str">
        <f>_xlfn.XLOOKUP(raw_data_23[[#This Row],[Location]],Table2[Shop name],Table2[Category],"OCCATIONAL",0,1)</f>
        <v>OCCATIONAL</v>
      </c>
      <c r="J70" s="2"/>
      <c r="K70" s="2"/>
      <c r="L70" s="2"/>
    </row>
    <row r="71" spans="1:12" x14ac:dyDescent="0.2">
      <c r="A71" s="7">
        <v>45828</v>
      </c>
      <c r="B71" s="2" t="str">
        <f t="shared" si="1"/>
        <v>June</v>
      </c>
      <c r="C71" s="2" t="s">
        <v>63</v>
      </c>
      <c r="D71" s="2" t="s">
        <v>19</v>
      </c>
      <c r="E71">
        <v>12</v>
      </c>
      <c r="F71" s="12" t="str">
        <f>_xlfn.XLOOKUP(raw_data_23[[#This Row],[Location]],Table2[Shop name],Table2[Category],"OCCATIONAL",0,1)</f>
        <v>TRAVEL</v>
      </c>
      <c r="J71" s="2"/>
      <c r="K71" s="2"/>
      <c r="L71" s="2"/>
    </row>
    <row r="72" spans="1:12" x14ac:dyDescent="0.2">
      <c r="A72" s="7">
        <v>45828</v>
      </c>
      <c r="B72" s="2" t="str">
        <f t="shared" si="1"/>
        <v>June</v>
      </c>
      <c r="C72" s="2" t="s">
        <v>37</v>
      </c>
      <c r="D72" s="2" t="s">
        <v>19</v>
      </c>
      <c r="E72">
        <v>28.19</v>
      </c>
      <c r="F72" s="12" t="str">
        <f>_xlfn.XLOOKUP(raw_data_23[[#This Row],[Location]],Table2[Shop name],Table2[Category],"OCCATIONAL",0,1)</f>
        <v>GROCERIES</v>
      </c>
      <c r="J72" s="2"/>
      <c r="K72" s="2"/>
      <c r="L72" s="2"/>
    </row>
    <row r="73" spans="1:12" x14ac:dyDescent="0.2">
      <c r="A73" s="7">
        <v>45828</v>
      </c>
      <c r="B73" s="2" t="str">
        <f t="shared" si="1"/>
        <v>June</v>
      </c>
      <c r="C73" s="2" t="s">
        <v>64</v>
      </c>
      <c r="D73" s="2" t="s">
        <v>19</v>
      </c>
      <c r="E73">
        <v>130.5</v>
      </c>
      <c r="F73" s="12" t="str">
        <f>_xlfn.XLOOKUP(raw_data_23[[#This Row],[Location]],Table2[Shop name],Table2[Category],"OCCATIONAL",0,1)</f>
        <v>FOOD</v>
      </c>
      <c r="J73" s="2"/>
      <c r="K73" s="2"/>
      <c r="L73" s="2"/>
    </row>
    <row r="74" spans="1:12" x14ac:dyDescent="0.2">
      <c r="A74" s="7">
        <v>45828</v>
      </c>
      <c r="B74" s="2" t="str">
        <f t="shared" si="1"/>
        <v>June</v>
      </c>
      <c r="C74" s="2" t="s">
        <v>65</v>
      </c>
      <c r="D74" s="2" t="s">
        <v>19</v>
      </c>
      <c r="E74">
        <v>56</v>
      </c>
      <c r="F74" s="12" t="str">
        <f>_xlfn.XLOOKUP(raw_data_23[[#This Row],[Location]],Table2[Shop name],Table2[Category],"OCCATIONAL",0,1)</f>
        <v>OCCATIONAL</v>
      </c>
      <c r="J74" s="2"/>
      <c r="K74" s="2"/>
      <c r="L74" s="2"/>
    </row>
    <row r="75" spans="1:12" x14ac:dyDescent="0.2">
      <c r="A75" s="7">
        <v>45829</v>
      </c>
      <c r="B75" s="2" t="str">
        <f t="shared" si="1"/>
        <v>June</v>
      </c>
      <c r="C75" s="2" t="s">
        <v>48</v>
      </c>
      <c r="D75" s="2" t="s">
        <v>19</v>
      </c>
      <c r="E75">
        <v>12</v>
      </c>
      <c r="F75" s="12" t="str">
        <f>_xlfn.XLOOKUP(raw_data_23[[#This Row],[Location]],Table2[Shop name],Table2[Category],"OCCATIONAL",0,1)</f>
        <v>GROCERIES</v>
      </c>
      <c r="J75" s="2"/>
      <c r="K75" s="2"/>
      <c r="L75" s="2"/>
    </row>
    <row r="76" spans="1:12" x14ac:dyDescent="0.2">
      <c r="A76" s="7">
        <v>45829</v>
      </c>
      <c r="B76" s="2" t="str">
        <f t="shared" si="1"/>
        <v>June</v>
      </c>
      <c r="C76" s="2" t="s">
        <v>21</v>
      </c>
      <c r="D76" s="2" t="s">
        <v>19</v>
      </c>
      <c r="E76">
        <v>20</v>
      </c>
      <c r="F76" s="12" t="str">
        <f>_xlfn.XLOOKUP(raw_data_23[[#This Row],[Location]],Table2[Shop name],Table2[Category],"OCCATIONAL",0,1)</f>
        <v>TRAVEL</v>
      </c>
      <c r="J76" s="2"/>
      <c r="K76" s="2"/>
      <c r="L76" s="2"/>
    </row>
    <row r="77" spans="1:12" x14ac:dyDescent="0.2">
      <c r="A77" s="7">
        <v>45829</v>
      </c>
      <c r="B77" s="2" t="str">
        <f t="shared" si="1"/>
        <v>June</v>
      </c>
      <c r="C77" s="2" t="s">
        <v>53</v>
      </c>
      <c r="D77" s="2" t="s">
        <v>19</v>
      </c>
      <c r="E77">
        <v>61.75</v>
      </c>
      <c r="F77" s="12" t="str">
        <f>_xlfn.XLOOKUP(raw_data_23[[#This Row],[Location]],Table2[Shop name],Table2[Category],"OCCATIONAL",0,1)</f>
        <v>HOME NEEDS</v>
      </c>
      <c r="J77" s="2"/>
      <c r="K77" s="2"/>
      <c r="L77" s="2"/>
    </row>
    <row r="78" spans="1:12" x14ac:dyDescent="0.2">
      <c r="A78" s="7">
        <v>45829</v>
      </c>
      <c r="B78" s="2" t="str">
        <f t="shared" si="1"/>
        <v>June</v>
      </c>
      <c r="C78" s="2" t="s">
        <v>44</v>
      </c>
      <c r="D78" s="2" t="s">
        <v>19</v>
      </c>
      <c r="E78">
        <v>26.9</v>
      </c>
      <c r="F78" s="12" t="str">
        <f>_xlfn.XLOOKUP(raw_data_23[[#This Row],[Location]],Table2[Shop name],Table2[Category],"OCCATIONAL",0,1)</f>
        <v>OCCATIONAL</v>
      </c>
      <c r="J78" s="2"/>
      <c r="K78" s="2"/>
      <c r="L78" s="2"/>
    </row>
    <row r="79" spans="1:12" x14ac:dyDescent="0.2">
      <c r="A79" s="7">
        <v>45829</v>
      </c>
      <c r="B79" s="2" t="str">
        <f t="shared" si="1"/>
        <v>June</v>
      </c>
      <c r="C79" s="2" t="s">
        <v>66</v>
      </c>
      <c r="D79" s="2" t="s">
        <v>19</v>
      </c>
      <c r="E79">
        <v>25</v>
      </c>
      <c r="F79" s="12" t="str">
        <f>_xlfn.XLOOKUP(raw_data_23[[#This Row],[Location]],Table2[Shop name],Table2[Category],"OCCATIONAL",0,1)</f>
        <v>FOOD</v>
      </c>
      <c r="J79" s="2"/>
      <c r="K79" s="2"/>
      <c r="L79" s="2"/>
    </row>
    <row r="80" spans="1:12" x14ac:dyDescent="0.2">
      <c r="A80" s="7">
        <v>45829</v>
      </c>
      <c r="B80" s="2" t="str">
        <f t="shared" si="1"/>
        <v>June</v>
      </c>
      <c r="C80" s="2" t="s">
        <v>37</v>
      </c>
      <c r="D80" s="2" t="s">
        <v>19</v>
      </c>
      <c r="E80">
        <v>228.67</v>
      </c>
      <c r="F80" s="12" t="str">
        <f>_xlfn.XLOOKUP(raw_data_23[[#This Row],[Location]],Table2[Shop name],Table2[Category],"OCCATIONAL",0,1)</f>
        <v>GROCERIES</v>
      </c>
      <c r="J80" s="2"/>
      <c r="K80" s="2"/>
      <c r="L80" s="2"/>
    </row>
    <row r="81" spans="1:12" x14ac:dyDescent="0.2">
      <c r="A81" s="7">
        <v>45829</v>
      </c>
      <c r="B81" s="2" t="str">
        <f t="shared" si="1"/>
        <v>June</v>
      </c>
      <c r="C81" s="2" t="s">
        <v>46</v>
      </c>
      <c r="D81" s="2" t="s">
        <v>19</v>
      </c>
      <c r="E81">
        <v>37</v>
      </c>
      <c r="F81" s="12" t="str">
        <f>_xlfn.XLOOKUP(raw_data_23[[#This Row],[Location]],Table2[Shop name],Table2[Category],"OCCATIONAL",0,1)</f>
        <v>FOOD</v>
      </c>
      <c r="J81" s="2"/>
      <c r="K81" s="2"/>
      <c r="L81" s="2"/>
    </row>
    <row r="82" spans="1:12" x14ac:dyDescent="0.2">
      <c r="A82" s="7">
        <v>45829</v>
      </c>
      <c r="B82" s="2" t="str">
        <f t="shared" si="1"/>
        <v>June</v>
      </c>
      <c r="C82" s="2" t="s">
        <v>38</v>
      </c>
      <c r="D82" s="2" t="s">
        <v>19</v>
      </c>
      <c r="E82">
        <v>4.99</v>
      </c>
      <c r="F82" s="12" t="str">
        <f>_xlfn.XLOOKUP(raw_data_23[[#This Row],[Location]],Table2[Shop name],Table2[Category],"OCCATIONAL",0,1)</f>
        <v>GROCERIES</v>
      </c>
      <c r="J82" s="2"/>
      <c r="K82" s="2"/>
      <c r="L82" s="2"/>
    </row>
    <row r="83" spans="1:12" x14ac:dyDescent="0.2">
      <c r="A83" s="7">
        <v>45830</v>
      </c>
      <c r="B83" s="2" t="str">
        <f t="shared" si="1"/>
        <v>June</v>
      </c>
      <c r="C83" s="2" t="s">
        <v>67</v>
      </c>
      <c r="D83" s="2" t="s">
        <v>19</v>
      </c>
      <c r="E83">
        <v>43</v>
      </c>
      <c r="F83" s="12" t="str">
        <f>_xlfn.XLOOKUP(raw_data_23[[#This Row],[Location]],Table2[Shop name],Table2[Category],"OCCATIONAL",0,1)</f>
        <v>COFFEE SHOP</v>
      </c>
      <c r="J83" s="2"/>
      <c r="K83" s="2"/>
      <c r="L83" s="2"/>
    </row>
    <row r="84" spans="1:12" x14ac:dyDescent="0.2">
      <c r="A84" s="7">
        <v>45830</v>
      </c>
      <c r="B84" s="2" t="str">
        <f t="shared" si="1"/>
        <v>June</v>
      </c>
      <c r="C84" s="2" t="s">
        <v>28</v>
      </c>
      <c r="D84" s="2" t="s">
        <v>19</v>
      </c>
      <c r="E84">
        <v>142</v>
      </c>
      <c r="F84" s="12" t="str">
        <f>_xlfn.XLOOKUP(raw_data_23[[#This Row],[Location]],Table2[Shop name],Table2[Category],"OCCATIONAL",0,1)</f>
        <v>TRAVEL</v>
      </c>
      <c r="J84" s="2"/>
      <c r="K84" s="2"/>
      <c r="L84" s="2"/>
    </row>
    <row r="85" spans="1:12" x14ac:dyDescent="0.2">
      <c r="A85" s="7">
        <v>45830</v>
      </c>
      <c r="B85" s="2" t="str">
        <f t="shared" si="1"/>
        <v>June</v>
      </c>
      <c r="C85" s="2" t="s">
        <v>28</v>
      </c>
      <c r="D85" s="2" t="s">
        <v>19</v>
      </c>
      <c r="E85">
        <v>245.7</v>
      </c>
      <c r="F85" s="12" t="str">
        <f>_xlfn.XLOOKUP(raw_data_23[[#This Row],[Location]],Table2[Shop name],Table2[Category],"OCCATIONAL",0,1)</f>
        <v>TRAVEL</v>
      </c>
      <c r="J85" s="2"/>
      <c r="K85" s="2"/>
      <c r="L85" s="2"/>
    </row>
    <row r="86" spans="1:12" x14ac:dyDescent="0.2">
      <c r="A86" s="7">
        <v>45830</v>
      </c>
      <c r="B86" s="2" t="str">
        <f t="shared" si="1"/>
        <v>June</v>
      </c>
      <c r="C86" s="2" t="s">
        <v>34</v>
      </c>
      <c r="D86" s="2" t="s">
        <v>4</v>
      </c>
      <c r="E86">
        <v>59.5</v>
      </c>
      <c r="F86" s="12" t="str">
        <f>_xlfn.XLOOKUP(raw_data_23[[#This Row],[Location]],Table2[Shop name],Table2[Category],"OCCATIONAL",0,1)</f>
        <v>TRAVEL</v>
      </c>
      <c r="J86" s="2"/>
      <c r="K86" s="2"/>
      <c r="L86" s="2"/>
    </row>
    <row r="87" spans="1:12" x14ac:dyDescent="0.2">
      <c r="A87" s="7">
        <v>45830</v>
      </c>
      <c r="B87" s="2" t="str">
        <f t="shared" si="1"/>
        <v>June</v>
      </c>
      <c r="C87" s="2" t="s">
        <v>38</v>
      </c>
      <c r="D87" s="2" t="s">
        <v>19</v>
      </c>
      <c r="E87">
        <v>30.79</v>
      </c>
      <c r="F87" s="12" t="str">
        <f>_xlfn.XLOOKUP(raw_data_23[[#This Row],[Location]],Table2[Shop name],Table2[Category],"OCCATIONAL",0,1)</f>
        <v>GROCERIES</v>
      </c>
      <c r="J87" s="2"/>
      <c r="K87" s="2"/>
      <c r="L87" s="2"/>
    </row>
    <row r="88" spans="1:12" x14ac:dyDescent="0.2">
      <c r="A88" s="7">
        <v>45831</v>
      </c>
      <c r="B88" s="2" t="str">
        <f t="shared" si="1"/>
        <v>June</v>
      </c>
      <c r="C88" s="2" t="s">
        <v>68</v>
      </c>
      <c r="D88" s="2" t="s">
        <v>19</v>
      </c>
      <c r="E88">
        <v>149.03</v>
      </c>
      <c r="F88" s="12" t="str">
        <f>_xlfn.XLOOKUP(raw_data_23[[#This Row],[Location]],Table2[Shop name],Table2[Category],"OCCATIONAL",0,1)</f>
        <v>TRAVEL</v>
      </c>
      <c r="J88" s="2"/>
      <c r="K88" s="2"/>
      <c r="L88" s="2"/>
    </row>
    <row r="89" spans="1:12" x14ac:dyDescent="0.2">
      <c r="A89" s="7">
        <v>45831</v>
      </c>
      <c r="B89" s="2" t="str">
        <f t="shared" si="1"/>
        <v>June</v>
      </c>
      <c r="C89" s="2" t="s">
        <v>145</v>
      </c>
      <c r="D89" s="2" t="s">
        <v>19</v>
      </c>
      <c r="E89">
        <v>101.96</v>
      </c>
      <c r="F89" s="12" t="str">
        <f>_xlfn.XLOOKUP(raw_data_23[[#This Row],[Location]],Table2[Shop name],Table2[Category],"OCCATIONAL",0,1)</f>
        <v>OCCATIONAL</v>
      </c>
      <c r="J89" s="2"/>
      <c r="K89" s="2"/>
      <c r="L89" s="2"/>
    </row>
    <row r="90" spans="1:12" x14ac:dyDescent="0.2">
      <c r="A90" s="7">
        <v>45831</v>
      </c>
      <c r="B90" s="2" t="str">
        <f t="shared" si="1"/>
        <v>June</v>
      </c>
      <c r="C90" s="2" t="s">
        <v>34</v>
      </c>
      <c r="D90" s="2" t="s">
        <v>4</v>
      </c>
      <c r="E90">
        <v>60</v>
      </c>
      <c r="F90" s="12" t="str">
        <f>_xlfn.XLOOKUP(raw_data_23[[#This Row],[Location]],Table2[Shop name],Table2[Category],"OCCATIONAL",0,1)</f>
        <v>TRAVEL</v>
      </c>
      <c r="J90" s="2"/>
      <c r="K90" s="2"/>
      <c r="L90" s="2"/>
    </row>
    <row r="91" spans="1:12" x14ac:dyDescent="0.2">
      <c r="A91" s="7">
        <v>45831</v>
      </c>
      <c r="B91" s="2" t="str">
        <f t="shared" si="1"/>
        <v>June</v>
      </c>
      <c r="C91" s="2" t="s">
        <v>38</v>
      </c>
      <c r="D91" s="2" t="s">
        <v>19</v>
      </c>
      <c r="E91">
        <v>10.99</v>
      </c>
      <c r="F91" s="12" t="str">
        <f>_xlfn.XLOOKUP(raw_data_23[[#This Row],[Location]],Table2[Shop name],Table2[Category],"OCCATIONAL",0,1)</f>
        <v>GROCERIES</v>
      </c>
      <c r="J91" s="2"/>
      <c r="K91" s="2"/>
      <c r="L91" s="2"/>
    </row>
    <row r="92" spans="1:12" x14ac:dyDescent="0.2">
      <c r="A92" s="7">
        <v>45832</v>
      </c>
      <c r="B92" s="2" t="str">
        <f t="shared" si="1"/>
        <v>June</v>
      </c>
      <c r="C92" s="2" t="s">
        <v>21</v>
      </c>
      <c r="D92" s="2" t="s">
        <v>19</v>
      </c>
      <c r="E92">
        <v>20</v>
      </c>
      <c r="F92" s="12" t="str">
        <f>_xlfn.XLOOKUP(raw_data_23[[#This Row],[Location]],Table2[Shop name],Table2[Category],"OCCATIONAL",0,1)</f>
        <v>TRAVEL</v>
      </c>
      <c r="J92" s="2"/>
      <c r="K92" s="2"/>
      <c r="L92" s="2"/>
    </row>
    <row r="93" spans="1:12" x14ac:dyDescent="0.2">
      <c r="A93" s="7">
        <v>45832</v>
      </c>
      <c r="B93" s="2" t="str">
        <f t="shared" si="1"/>
        <v>June</v>
      </c>
      <c r="C93" s="2" t="s">
        <v>38</v>
      </c>
      <c r="D93" s="2" t="s">
        <v>19</v>
      </c>
      <c r="E93">
        <v>14.3</v>
      </c>
      <c r="F93" s="12" t="str">
        <f>_xlfn.XLOOKUP(raw_data_23[[#This Row],[Location]],Table2[Shop name],Table2[Category],"OCCATIONAL",0,1)</f>
        <v>GROCERIES</v>
      </c>
      <c r="J93" s="2"/>
      <c r="K93" s="2"/>
      <c r="L93" s="2"/>
    </row>
    <row r="94" spans="1:12" x14ac:dyDescent="0.2">
      <c r="A94" s="7">
        <v>45833</v>
      </c>
      <c r="B94" s="2" t="str">
        <f t="shared" si="1"/>
        <v>June</v>
      </c>
      <c r="C94" s="2" t="s">
        <v>34</v>
      </c>
      <c r="D94" s="2" t="s">
        <v>4</v>
      </c>
      <c r="E94">
        <v>33.75</v>
      </c>
      <c r="F94" s="12" t="str">
        <f>_xlfn.XLOOKUP(raw_data_23[[#This Row],[Location]],Table2[Shop name],Table2[Category],"OCCATIONAL",0,1)</f>
        <v>TRAVEL</v>
      </c>
      <c r="J94" s="2"/>
      <c r="K94" s="2"/>
      <c r="L94" s="2"/>
    </row>
    <row r="95" spans="1:12" x14ac:dyDescent="0.2">
      <c r="A95" s="7">
        <v>45833</v>
      </c>
      <c r="B95" s="2" t="str">
        <f t="shared" si="1"/>
        <v>June</v>
      </c>
      <c r="C95" s="2" t="s">
        <v>37</v>
      </c>
      <c r="D95" s="2" t="s">
        <v>19</v>
      </c>
      <c r="E95">
        <v>150.28</v>
      </c>
      <c r="F95" s="12" t="str">
        <f>_xlfn.XLOOKUP(raw_data_23[[#This Row],[Location]],Table2[Shop name],Table2[Category],"OCCATIONAL",0,1)</f>
        <v>GROCERIES</v>
      </c>
      <c r="J95" s="2"/>
      <c r="K95" s="2"/>
      <c r="L95" s="2"/>
    </row>
    <row r="96" spans="1:12" x14ac:dyDescent="0.2">
      <c r="A96" s="7">
        <v>45834</v>
      </c>
      <c r="B96" s="2" t="str">
        <f t="shared" si="1"/>
        <v>June</v>
      </c>
      <c r="C96" s="2" t="s">
        <v>21</v>
      </c>
      <c r="D96" s="2" t="s">
        <v>19</v>
      </c>
      <c r="E96">
        <v>20</v>
      </c>
      <c r="F96" s="12" t="str">
        <f>_xlfn.XLOOKUP(raw_data_23[[#This Row],[Location]],Table2[Shop name],Table2[Category],"OCCATIONAL",0,1)</f>
        <v>TRAVEL</v>
      </c>
      <c r="J96" s="2"/>
      <c r="K96" s="2"/>
      <c r="L96" s="2"/>
    </row>
    <row r="97" spans="1:12" x14ac:dyDescent="0.2">
      <c r="A97" s="7">
        <v>45834</v>
      </c>
      <c r="B97" s="2" t="str">
        <f t="shared" si="1"/>
        <v>June</v>
      </c>
      <c r="C97" s="2" t="s">
        <v>38</v>
      </c>
      <c r="D97" s="2" t="s">
        <v>19</v>
      </c>
      <c r="E97">
        <v>9.9</v>
      </c>
      <c r="F97" s="12" t="str">
        <f>_xlfn.XLOOKUP(raw_data_23[[#This Row],[Location]],Table2[Shop name],Table2[Category],"OCCATIONAL",0,1)</f>
        <v>GROCERIES</v>
      </c>
      <c r="J97" s="2"/>
      <c r="K97" s="2"/>
      <c r="L97" s="2"/>
    </row>
    <row r="98" spans="1:12" x14ac:dyDescent="0.2">
      <c r="A98" s="7">
        <v>45835</v>
      </c>
      <c r="B98" s="2" t="str">
        <f t="shared" si="1"/>
        <v>June</v>
      </c>
      <c r="C98" s="2" t="s">
        <v>39</v>
      </c>
      <c r="D98" s="2" t="s">
        <v>19</v>
      </c>
      <c r="E98">
        <v>24</v>
      </c>
      <c r="F98" s="12" t="str">
        <f>_xlfn.XLOOKUP(raw_data_23[[#This Row],[Location]],Table2[Shop name],Table2[Category],"OCCATIONAL",0,1)</f>
        <v>CLOTHING</v>
      </c>
      <c r="J98" s="2"/>
      <c r="K98" s="2"/>
      <c r="L98" s="2"/>
    </row>
    <row r="99" spans="1:12" x14ac:dyDescent="0.2">
      <c r="A99" s="7">
        <v>45835</v>
      </c>
      <c r="B99" s="2" t="str">
        <f t="shared" si="1"/>
        <v>June</v>
      </c>
      <c r="C99" s="2" t="s">
        <v>49</v>
      </c>
      <c r="D99" s="2" t="s">
        <v>19</v>
      </c>
      <c r="E99">
        <v>46.14</v>
      </c>
      <c r="F99" s="12" t="str">
        <f>_xlfn.XLOOKUP(raw_data_23[[#This Row],[Location]],Table2[Shop name],Table2[Category],"OCCATIONAL",0,1)</f>
        <v>COFFEE SHOP</v>
      </c>
      <c r="J99" s="2"/>
      <c r="K99" s="2"/>
      <c r="L99" s="2"/>
    </row>
    <row r="100" spans="1:12" x14ac:dyDescent="0.2">
      <c r="A100" s="7">
        <v>45835</v>
      </c>
      <c r="B100" s="2" t="str">
        <f t="shared" si="1"/>
        <v>June</v>
      </c>
      <c r="C100" s="2" t="s">
        <v>21</v>
      </c>
      <c r="D100" s="2" t="s">
        <v>19</v>
      </c>
      <c r="E100">
        <v>25</v>
      </c>
      <c r="F100" s="12" t="str">
        <f>_xlfn.XLOOKUP(raw_data_23[[#This Row],[Location]],Table2[Shop name],Table2[Category],"OCCATIONAL",0,1)</f>
        <v>TRAVEL</v>
      </c>
      <c r="J100" s="2"/>
      <c r="K100" s="2"/>
      <c r="L100" s="2"/>
    </row>
    <row r="101" spans="1:12" x14ac:dyDescent="0.2">
      <c r="A101" s="7">
        <v>45835</v>
      </c>
      <c r="B101" s="2" t="str">
        <f t="shared" si="1"/>
        <v>June</v>
      </c>
      <c r="C101" s="2" t="s">
        <v>37</v>
      </c>
      <c r="D101" s="2" t="s">
        <v>19</v>
      </c>
      <c r="E101">
        <v>31.97</v>
      </c>
      <c r="F101" s="12" t="str">
        <f>_xlfn.XLOOKUP(raw_data_23[[#This Row],[Location]],Table2[Shop name],Table2[Category],"OCCATIONAL",0,1)</f>
        <v>GROCERIES</v>
      </c>
      <c r="J101" s="2"/>
      <c r="K101" s="2"/>
      <c r="L101" s="2"/>
    </row>
    <row r="102" spans="1:12" x14ac:dyDescent="0.2">
      <c r="A102" s="7">
        <v>45835</v>
      </c>
      <c r="B102" s="2" t="str">
        <f t="shared" si="1"/>
        <v>June</v>
      </c>
      <c r="C102" s="2" t="s">
        <v>38</v>
      </c>
      <c r="D102" s="2" t="s">
        <v>19</v>
      </c>
      <c r="E102">
        <v>3.99</v>
      </c>
      <c r="F102" s="12" t="str">
        <f>_xlfn.XLOOKUP(raw_data_23[[#This Row],[Location]],Table2[Shop name],Table2[Category],"OCCATIONAL",0,1)</f>
        <v>GROCERIES</v>
      </c>
      <c r="J102" s="2"/>
      <c r="K102" s="2"/>
      <c r="L102" s="2"/>
    </row>
    <row r="103" spans="1:12" x14ac:dyDescent="0.2">
      <c r="A103" s="7">
        <v>45836</v>
      </c>
      <c r="B103" s="2" t="str">
        <f t="shared" si="1"/>
        <v>June</v>
      </c>
      <c r="C103" s="2" t="s">
        <v>69</v>
      </c>
      <c r="D103" s="2" t="s">
        <v>19</v>
      </c>
      <c r="E103">
        <v>129.97999999999999</v>
      </c>
      <c r="F103" s="12" t="str">
        <f>_xlfn.XLOOKUP(raw_data_23[[#This Row],[Location]],Table2[Shop name],Table2[Category],"OCCATIONAL",0,1)</f>
        <v>CLOTHING</v>
      </c>
      <c r="J103" s="2"/>
      <c r="K103" s="2"/>
      <c r="L103" s="2"/>
    </row>
    <row r="104" spans="1:12" x14ac:dyDescent="0.2">
      <c r="A104" s="7">
        <v>45836</v>
      </c>
      <c r="B104" s="2" t="str">
        <f t="shared" si="1"/>
        <v>June</v>
      </c>
      <c r="C104" s="2" t="s">
        <v>40</v>
      </c>
      <c r="D104" s="2" t="s">
        <v>19</v>
      </c>
      <c r="E104">
        <v>61</v>
      </c>
      <c r="F104" s="12" t="str">
        <f>_xlfn.XLOOKUP(raw_data_23[[#This Row],[Location]],Table2[Shop name],Table2[Category],"OCCATIONAL",0,1)</f>
        <v>GROCERIES</v>
      </c>
      <c r="J104" s="2"/>
      <c r="K104" s="2"/>
      <c r="L104" s="2"/>
    </row>
    <row r="105" spans="1:12" x14ac:dyDescent="0.2">
      <c r="A105" s="7">
        <v>45836</v>
      </c>
      <c r="B105" s="2" t="str">
        <f t="shared" si="1"/>
        <v>June</v>
      </c>
      <c r="C105" s="2" t="s">
        <v>150</v>
      </c>
      <c r="D105" s="2" t="s">
        <v>19</v>
      </c>
      <c r="E105">
        <v>9.99</v>
      </c>
      <c r="F105" s="12" t="str">
        <f>_xlfn.XLOOKUP(raw_data_23[[#This Row],[Location]],Table2[Shop name],Table2[Category],"OCCATIONAL",0,1)</f>
        <v>OCCATIONAL</v>
      </c>
      <c r="J105" s="2"/>
      <c r="K105" s="2"/>
      <c r="L105" s="2"/>
    </row>
    <row r="106" spans="1:12" x14ac:dyDescent="0.2">
      <c r="A106" s="7">
        <v>45836</v>
      </c>
      <c r="B106" s="2" t="str">
        <f t="shared" si="1"/>
        <v>June</v>
      </c>
      <c r="C106" s="2" t="s">
        <v>21</v>
      </c>
      <c r="D106" s="2" t="s">
        <v>19</v>
      </c>
      <c r="E106">
        <v>20</v>
      </c>
      <c r="F106" s="12" t="str">
        <f>_xlfn.XLOOKUP(raw_data_23[[#This Row],[Location]],Table2[Shop name],Table2[Category],"OCCATIONAL",0,1)</f>
        <v>TRAVEL</v>
      </c>
      <c r="J106" s="2"/>
      <c r="K106" s="2"/>
      <c r="L106" s="2"/>
    </row>
    <row r="107" spans="1:12" x14ac:dyDescent="0.2">
      <c r="A107" s="7">
        <v>45836</v>
      </c>
      <c r="B107" s="2" t="str">
        <f t="shared" si="1"/>
        <v>June</v>
      </c>
      <c r="C107" s="2" t="s">
        <v>34</v>
      </c>
      <c r="D107" s="2" t="s">
        <v>4</v>
      </c>
      <c r="E107">
        <v>27.3</v>
      </c>
      <c r="F107" s="12" t="str">
        <f>_xlfn.XLOOKUP(raw_data_23[[#This Row],[Location]],Table2[Shop name],Table2[Category],"OCCATIONAL",0,1)</f>
        <v>TRAVEL</v>
      </c>
      <c r="J107" s="2"/>
      <c r="K107" s="2"/>
      <c r="L107" s="2"/>
    </row>
    <row r="108" spans="1:12" x14ac:dyDescent="0.2">
      <c r="A108" s="7">
        <v>45836</v>
      </c>
      <c r="B108" s="2" t="str">
        <f t="shared" si="1"/>
        <v>June</v>
      </c>
      <c r="C108" s="2" t="s">
        <v>70</v>
      </c>
      <c r="D108" s="2" t="s">
        <v>19</v>
      </c>
      <c r="E108">
        <v>21.35</v>
      </c>
      <c r="F108" s="12" t="str">
        <f>_xlfn.XLOOKUP(raw_data_23[[#This Row],[Location]],Table2[Shop name],Table2[Category],"OCCATIONAL",0,1)</f>
        <v>GROCERIES</v>
      </c>
      <c r="J108" s="2"/>
      <c r="K108" s="2"/>
      <c r="L108" s="2"/>
    </row>
    <row r="109" spans="1:12" x14ac:dyDescent="0.2">
      <c r="A109" s="7">
        <v>45836</v>
      </c>
      <c r="B109" s="2" t="str">
        <f t="shared" si="1"/>
        <v>June</v>
      </c>
      <c r="C109" s="2" t="s">
        <v>44</v>
      </c>
      <c r="D109" s="2" t="s">
        <v>19</v>
      </c>
      <c r="E109">
        <v>28.8</v>
      </c>
      <c r="F109" s="12" t="str">
        <f>_xlfn.XLOOKUP(raw_data_23[[#This Row],[Location]],Table2[Shop name],Table2[Category],"OCCATIONAL",0,1)</f>
        <v>OCCATIONAL</v>
      </c>
      <c r="J109" s="2"/>
      <c r="K109" s="2"/>
      <c r="L109" s="2"/>
    </row>
    <row r="110" spans="1:12" x14ac:dyDescent="0.2">
      <c r="A110" s="7">
        <v>45836</v>
      </c>
      <c r="B110" s="2" t="str">
        <f t="shared" si="1"/>
        <v>June</v>
      </c>
      <c r="C110" s="2" t="s">
        <v>37</v>
      </c>
      <c r="D110" s="2" t="s">
        <v>19</v>
      </c>
      <c r="E110">
        <v>227.4</v>
      </c>
      <c r="F110" s="12" t="str">
        <f>_xlfn.XLOOKUP(raw_data_23[[#This Row],[Location]],Table2[Shop name],Table2[Category],"OCCATIONAL",0,1)</f>
        <v>GROCERIES</v>
      </c>
      <c r="J110" s="2"/>
      <c r="K110" s="2"/>
      <c r="L110" s="2"/>
    </row>
    <row r="111" spans="1:12" x14ac:dyDescent="0.2">
      <c r="A111" s="7">
        <v>45836</v>
      </c>
      <c r="B111" s="2" t="str">
        <f t="shared" si="1"/>
        <v>June</v>
      </c>
      <c r="C111" s="2" t="s">
        <v>64</v>
      </c>
      <c r="D111" s="2" t="s">
        <v>19</v>
      </c>
      <c r="E111">
        <v>99</v>
      </c>
      <c r="F111" s="12" t="str">
        <f>_xlfn.XLOOKUP(raw_data_23[[#This Row],[Location]],Table2[Shop name],Table2[Category],"OCCATIONAL",0,1)</f>
        <v>FOOD</v>
      </c>
      <c r="J111" s="2"/>
      <c r="K111" s="2"/>
      <c r="L111" s="2"/>
    </row>
    <row r="112" spans="1:12" x14ac:dyDescent="0.2">
      <c r="A112" s="7">
        <v>45836</v>
      </c>
      <c r="B112" s="2" t="str">
        <f t="shared" si="1"/>
        <v>June</v>
      </c>
      <c r="C112" s="2" t="s">
        <v>71</v>
      </c>
      <c r="D112" s="2" t="s">
        <v>19</v>
      </c>
      <c r="E112">
        <v>7</v>
      </c>
      <c r="F112" s="12" t="str">
        <f>_xlfn.XLOOKUP(raw_data_23[[#This Row],[Location]],Table2[Shop name],Table2[Category],"OCCATIONAL",0,1)</f>
        <v>COFFEE SHOP</v>
      </c>
      <c r="J112" s="2"/>
      <c r="K112" s="2"/>
      <c r="L112" s="2"/>
    </row>
    <row r="113" spans="1:12" x14ac:dyDescent="0.2">
      <c r="A113" s="7">
        <v>45836</v>
      </c>
      <c r="B113" s="2" t="str">
        <f t="shared" si="1"/>
        <v>June</v>
      </c>
      <c r="C113" s="2" t="s">
        <v>46</v>
      </c>
      <c r="D113" s="2" t="s">
        <v>19</v>
      </c>
      <c r="E113">
        <v>37</v>
      </c>
      <c r="F113" s="12" t="str">
        <f>_xlfn.XLOOKUP(raw_data_23[[#This Row],[Location]],Table2[Shop name],Table2[Category],"OCCATIONAL",0,1)</f>
        <v>FOOD</v>
      </c>
      <c r="J113" s="2"/>
      <c r="K113" s="2"/>
      <c r="L113" s="2"/>
    </row>
    <row r="114" spans="1:12" x14ac:dyDescent="0.2">
      <c r="A114" s="7">
        <v>45836</v>
      </c>
      <c r="B114" s="2" t="str">
        <f t="shared" si="1"/>
        <v>June</v>
      </c>
      <c r="C114" s="2" t="s">
        <v>38</v>
      </c>
      <c r="D114" s="2" t="s">
        <v>19</v>
      </c>
      <c r="E114">
        <v>23.57</v>
      </c>
      <c r="F114" s="12" t="str">
        <f>_xlfn.XLOOKUP(raw_data_23[[#This Row],[Location]],Table2[Shop name],Table2[Category],"OCCATIONAL",0,1)</f>
        <v>GROCERIES</v>
      </c>
      <c r="J114" s="2"/>
      <c r="K114" s="2"/>
      <c r="L114" s="2"/>
    </row>
    <row r="115" spans="1:12" x14ac:dyDescent="0.2">
      <c r="A115" s="7">
        <v>45836</v>
      </c>
      <c r="B115" s="2" t="str">
        <f t="shared" si="1"/>
        <v>June</v>
      </c>
      <c r="C115" s="2" t="s">
        <v>38</v>
      </c>
      <c r="D115" s="2" t="s">
        <v>19</v>
      </c>
      <c r="E115">
        <v>4.4000000000000004</v>
      </c>
      <c r="F115" s="12" t="str">
        <f>_xlfn.XLOOKUP(raw_data_23[[#This Row],[Location]],Table2[Shop name],Table2[Category],"OCCATIONAL",0,1)</f>
        <v>GROCERIES</v>
      </c>
      <c r="K115" s="2"/>
      <c r="L115" s="2"/>
    </row>
    <row r="116" spans="1:12" x14ac:dyDescent="0.2">
      <c r="A116" s="7">
        <v>45837</v>
      </c>
      <c r="B116" s="2" t="str">
        <f t="shared" si="1"/>
        <v>June</v>
      </c>
      <c r="C116" s="2" t="s">
        <v>62</v>
      </c>
      <c r="D116" s="2" t="s">
        <v>19</v>
      </c>
      <c r="E116">
        <v>35</v>
      </c>
      <c r="F116" s="12" t="str">
        <f>_xlfn.XLOOKUP(raw_data_23[[#This Row],[Location]],Table2[Shop name],Table2[Category],"OCCATIONAL",0,1)</f>
        <v>HOME NEEDS</v>
      </c>
      <c r="K116" s="2"/>
      <c r="L116" s="2"/>
    </row>
    <row r="117" spans="1:12" x14ac:dyDescent="0.2">
      <c r="A117" s="7">
        <v>45837</v>
      </c>
      <c r="B117" s="2" t="str">
        <f t="shared" si="1"/>
        <v>June</v>
      </c>
      <c r="C117" s="2" t="s">
        <v>72</v>
      </c>
      <c r="D117" s="2" t="s">
        <v>19</v>
      </c>
      <c r="E117">
        <v>25</v>
      </c>
      <c r="F117" s="12" t="str">
        <f>_xlfn.XLOOKUP(raw_data_23[[#This Row],[Location]],Table2[Shop name],Table2[Category],"OCCATIONAL",0,1)</f>
        <v>HOME NEEDS</v>
      </c>
      <c r="K117" s="2"/>
      <c r="L117" s="2"/>
    </row>
    <row r="118" spans="1:12" x14ac:dyDescent="0.2">
      <c r="A118" s="7">
        <v>45837</v>
      </c>
      <c r="B118" s="2" t="str">
        <f t="shared" si="1"/>
        <v>June</v>
      </c>
      <c r="C118" s="2" t="s">
        <v>73</v>
      </c>
      <c r="D118" s="2" t="s">
        <v>19</v>
      </c>
      <c r="E118">
        <v>21.31</v>
      </c>
      <c r="F118" s="12" t="str">
        <f>_xlfn.XLOOKUP(raw_data_23[[#This Row],[Location]],Table2[Shop name],Table2[Category],"OCCATIONAL",0,1)</f>
        <v>FOOD</v>
      </c>
      <c r="K118" s="2"/>
      <c r="L118" s="2"/>
    </row>
    <row r="119" spans="1:12" x14ac:dyDescent="0.2">
      <c r="A119" s="7">
        <v>45837</v>
      </c>
      <c r="B119" s="2" t="str">
        <f t="shared" si="1"/>
        <v>June</v>
      </c>
      <c r="C119" s="2" t="s">
        <v>43</v>
      </c>
      <c r="D119" s="2" t="s">
        <v>19</v>
      </c>
      <c r="E119">
        <v>13.6</v>
      </c>
      <c r="F119" s="12" t="str">
        <f>_xlfn.XLOOKUP(raw_data_23[[#This Row],[Location]],Table2[Shop name],Table2[Category],"OCCATIONAL",0,1)</f>
        <v>FOOD</v>
      </c>
      <c r="K119" s="2"/>
      <c r="L119" s="2"/>
    </row>
    <row r="120" spans="1:12" x14ac:dyDescent="0.2">
      <c r="A120" s="7">
        <v>45837</v>
      </c>
      <c r="B120" s="2" t="str">
        <f t="shared" si="1"/>
        <v>June</v>
      </c>
      <c r="C120" s="2" t="s">
        <v>40</v>
      </c>
      <c r="D120" s="2" t="s">
        <v>19</v>
      </c>
      <c r="E120">
        <v>30</v>
      </c>
      <c r="F120" s="12" t="str">
        <f>_xlfn.XLOOKUP(raw_data_23[[#This Row],[Location]],Table2[Shop name],Table2[Category],"OCCATIONAL",0,1)</f>
        <v>GROCERIES</v>
      </c>
      <c r="K120" s="2"/>
      <c r="L120" s="2"/>
    </row>
    <row r="121" spans="1:12" x14ac:dyDescent="0.2">
      <c r="A121" s="7">
        <v>45837</v>
      </c>
      <c r="B121" s="2" t="str">
        <f t="shared" si="1"/>
        <v>June</v>
      </c>
      <c r="C121" s="2" t="s">
        <v>74</v>
      </c>
      <c r="D121" s="2" t="s">
        <v>19</v>
      </c>
      <c r="E121">
        <v>118</v>
      </c>
      <c r="F121" s="12" t="str">
        <f>_xlfn.XLOOKUP(raw_data_23[[#This Row],[Location]],Table2[Shop name],Table2[Category],"OCCATIONAL",0,1)</f>
        <v>CLOTHING</v>
      </c>
      <c r="K121" s="2"/>
      <c r="L121" s="2"/>
    </row>
    <row r="122" spans="1:12" x14ac:dyDescent="0.2">
      <c r="A122" s="7">
        <v>45837</v>
      </c>
      <c r="B122" s="2" t="str">
        <f t="shared" si="1"/>
        <v>June</v>
      </c>
      <c r="C122" s="2" t="s">
        <v>75</v>
      </c>
      <c r="D122" s="2" t="s">
        <v>19</v>
      </c>
      <c r="E122">
        <v>53</v>
      </c>
      <c r="F122" s="12" t="str">
        <f>_xlfn.XLOOKUP(raw_data_23[[#This Row],[Location]],Table2[Shop name],Table2[Category],"OCCATIONAL",0,1)</f>
        <v>FOOD</v>
      </c>
      <c r="K122" s="2"/>
      <c r="L122" s="2"/>
    </row>
    <row r="123" spans="1:12" x14ac:dyDescent="0.2">
      <c r="A123" s="7">
        <v>45837</v>
      </c>
      <c r="B123" s="2" t="str">
        <f t="shared" si="1"/>
        <v>June</v>
      </c>
      <c r="C123" s="2" t="s">
        <v>76</v>
      </c>
      <c r="D123" s="2" t="s">
        <v>19</v>
      </c>
      <c r="E123">
        <v>219.99</v>
      </c>
      <c r="F123" s="12" t="str">
        <f>_xlfn.XLOOKUP(raw_data_23[[#This Row],[Location]],Table2[Shop name],Table2[Category],"OCCATIONAL",0,1)</f>
        <v>CLOTHING</v>
      </c>
      <c r="K123" s="2"/>
      <c r="L123" s="2"/>
    </row>
    <row r="124" spans="1:12" x14ac:dyDescent="0.2">
      <c r="A124" s="7">
        <v>45837</v>
      </c>
      <c r="B124" s="2" t="str">
        <f t="shared" si="1"/>
        <v>June</v>
      </c>
      <c r="C124" s="2" t="s">
        <v>21</v>
      </c>
      <c r="D124" s="2" t="s">
        <v>19</v>
      </c>
      <c r="E124">
        <v>20</v>
      </c>
      <c r="F124" s="12" t="str">
        <f>_xlfn.XLOOKUP(raw_data_23[[#This Row],[Location]],Table2[Shop name],Table2[Category],"OCCATIONAL",0,1)</f>
        <v>TRAVEL</v>
      </c>
      <c r="K124" s="2"/>
      <c r="L124" s="2"/>
    </row>
    <row r="125" spans="1:12" x14ac:dyDescent="0.2">
      <c r="A125" s="7">
        <v>45837</v>
      </c>
      <c r="B125" s="2" t="str">
        <f t="shared" si="1"/>
        <v>June</v>
      </c>
      <c r="C125" s="2" t="s">
        <v>77</v>
      </c>
      <c r="D125" s="2" t="s">
        <v>19</v>
      </c>
      <c r="E125">
        <v>22.05</v>
      </c>
      <c r="F125" s="12" t="str">
        <f>_xlfn.XLOOKUP(raw_data_23[[#This Row],[Location]],Table2[Shop name],Table2[Category],"OCCATIONAL",0,1)</f>
        <v>OCCATIONAL</v>
      </c>
      <c r="K125" s="2"/>
      <c r="L125" s="2"/>
    </row>
    <row r="126" spans="1:12" x14ac:dyDescent="0.2">
      <c r="A126" s="7">
        <v>45837</v>
      </c>
      <c r="B126" s="2" t="str">
        <f t="shared" si="1"/>
        <v>June</v>
      </c>
      <c r="C126" s="2" t="s">
        <v>78</v>
      </c>
      <c r="D126" s="2" t="s">
        <v>19</v>
      </c>
      <c r="E126">
        <v>29.99</v>
      </c>
      <c r="F126" s="12" t="str">
        <f>_xlfn.XLOOKUP(raw_data_23[[#This Row],[Location]],Table2[Shop name],Table2[Category],"OCCATIONAL",0,1)</f>
        <v>CLOTHING</v>
      </c>
      <c r="K126" s="2"/>
      <c r="L126" s="2"/>
    </row>
    <row r="127" spans="1:12" x14ac:dyDescent="0.2">
      <c r="A127" s="7">
        <v>45837</v>
      </c>
      <c r="B127" s="2" t="str">
        <f t="shared" si="1"/>
        <v>June</v>
      </c>
      <c r="C127" s="2" t="s">
        <v>40</v>
      </c>
      <c r="D127" s="2" t="s">
        <v>19</v>
      </c>
      <c r="E127">
        <v>14.2</v>
      </c>
      <c r="F127" s="12" t="str">
        <f>_xlfn.XLOOKUP(raw_data_23[[#This Row],[Location]],Table2[Shop name],Table2[Category],"OCCATIONAL",0,1)</f>
        <v>GROCERIES</v>
      </c>
      <c r="K127" s="2"/>
      <c r="L127" s="2"/>
    </row>
    <row r="128" spans="1:12" x14ac:dyDescent="0.2">
      <c r="A128" s="7">
        <v>45837</v>
      </c>
      <c r="B128" s="2" t="str">
        <f t="shared" si="1"/>
        <v>June</v>
      </c>
      <c r="C128" s="2" t="s">
        <v>79</v>
      </c>
      <c r="D128" s="2" t="s">
        <v>19</v>
      </c>
      <c r="E128">
        <v>50</v>
      </c>
      <c r="F128" s="12" t="str">
        <f>_xlfn.XLOOKUP(raw_data_23[[#This Row],[Location]],Table2[Shop name],Table2[Category],"OCCATIONAL",0,1)</f>
        <v>HOME NEEDS</v>
      </c>
      <c r="K128" s="2"/>
      <c r="L128" s="2"/>
    </row>
    <row r="129" spans="1:12" x14ac:dyDescent="0.2">
      <c r="A129" s="7">
        <v>45837</v>
      </c>
      <c r="B129" s="2" t="str">
        <f t="shared" si="1"/>
        <v>June</v>
      </c>
      <c r="C129" s="2" t="s">
        <v>80</v>
      </c>
      <c r="D129" s="2" t="s">
        <v>19</v>
      </c>
      <c r="E129">
        <v>45</v>
      </c>
      <c r="F129" s="12" t="str">
        <f>_xlfn.XLOOKUP(raw_data_23[[#This Row],[Location]],Table2[Shop name],Table2[Category],"OCCATIONAL",0,1)</f>
        <v>FOOD</v>
      </c>
      <c r="K129" s="2"/>
      <c r="L129" s="2"/>
    </row>
    <row r="130" spans="1:12" x14ac:dyDescent="0.2">
      <c r="A130" s="7">
        <v>45837</v>
      </c>
      <c r="B130" s="2" t="str">
        <f t="shared" ref="B130:B193" si="2">TEXT(A130,"mmmm")</f>
        <v>June</v>
      </c>
      <c r="C130" s="2" t="s">
        <v>81</v>
      </c>
      <c r="D130" s="2" t="s">
        <v>19</v>
      </c>
      <c r="E130">
        <v>21</v>
      </c>
      <c r="F130" s="12" t="str">
        <f>_xlfn.XLOOKUP(raw_data_23[[#This Row],[Location]],Table2[Shop name],Table2[Category],"OCCATIONAL",0,1)</f>
        <v>OCCATIONAL</v>
      </c>
      <c r="K130" s="2"/>
      <c r="L130" s="2"/>
    </row>
    <row r="131" spans="1:12" x14ac:dyDescent="0.2">
      <c r="A131" s="7">
        <v>45837</v>
      </c>
      <c r="B131" s="2" t="str">
        <f t="shared" si="2"/>
        <v>June</v>
      </c>
      <c r="C131" s="2" t="s">
        <v>82</v>
      </c>
      <c r="D131" s="2" t="s">
        <v>19</v>
      </c>
      <c r="E131">
        <v>25</v>
      </c>
      <c r="F131" s="12" t="str">
        <f>_xlfn.XLOOKUP(raw_data_23[[#This Row],[Location]],Table2[Shop name],Table2[Category],"OCCATIONAL",0,1)</f>
        <v>FOOD</v>
      </c>
      <c r="K131" s="2"/>
      <c r="L131" s="2"/>
    </row>
    <row r="132" spans="1:12" x14ac:dyDescent="0.2">
      <c r="A132" s="7">
        <v>45839</v>
      </c>
      <c r="B132" s="2" t="str">
        <f t="shared" si="2"/>
        <v>July</v>
      </c>
      <c r="C132" s="2" t="s">
        <v>146</v>
      </c>
      <c r="D132" s="2" t="s">
        <v>19</v>
      </c>
      <c r="E132">
        <v>7.76</v>
      </c>
      <c r="F132" s="12" t="str">
        <f>_xlfn.XLOOKUP(raw_data_23[[#This Row],[Location]],Table2[Shop name],Table2[Category],"OCCATIONAL",0,1)</f>
        <v>GROCERIES</v>
      </c>
      <c r="K132" s="2"/>
      <c r="L132" s="2"/>
    </row>
    <row r="133" spans="1:12" x14ac:dyDescent="0.2">
      <c r="A133" s="7">
        <v>45839</v>
      </c>
      <c r="B133" s="2" t="str">
        <f t="shared" si="2"/>
        <v>July</v>
      </c>
      <c r="C133" s="2" t="s">
        <v>145</v>
      </c>
      <c r="D133" s="2" t="s">
        <v>19</v>
      </c>
      <c r="E133">
        <v>36.99</v>
      </c>
      <c r="F133" s="12" t="str">
        <f>_xlfn.XLOOKUP(raw_data_23[[#This Row],[Location]],Table2[Shop name],Table2[Category],"OCCATIONAL",0,1)</f>
        <v>OCCATIONAL</v>
      </c>
      <c r="K133" s="2"/>
      <c r="L133" s="2"/>
    </row>
    <row r="134" spans="1:12" x14ac:dyDescent="0.2">
      <c r="A134" s="7">
        <v>45839</v>
      </c>
      <c r="B134" s="2" t="str">
        <f t="shared" si="2"/>
        <v>July</v>
      </c>
      <c r="C134" s="2" t="s">
        <v>21</v>
      </c>
      <c r="D134" s="2" t="s">
        <v>19</v>
      </c>
      <c r="E134">
        <v>20</v>
      </c>
      <c r="F134" s="12" t="str">
        <f>_xlfn.XLOOKUP(raw_data_23[[#This Row],[Location]],Table2[Shop name],Table2[Category],"OCCATIONAL",0,1)</f>
        <v>TRAVEL</v>
      </c>
      <c r="K134" s="2"/>
      <c r="L134" s="2"/>
    </row>
    <row r="135" spans="1:12" x14ac:dyDescent="0.2">
      <c r="A135" s="7">
        <v>45839</v>
      </c>
      <c r="B135" s="2" t="str">
        <f t="shared" si="2"/>
        <v>July</v>
      </c>
      <c r="C135" s="2" t="s">
        <v>22</v>
      </c>
      <c r="D135" s="2" t="s">
        <v>19</v>
      </c>
      <c r="E135">
        <v>35</v>
      </c>
      <c r="F135" s="12" t="str">
        <f>_xlfn.XLOOKUP(raw_data_23[[#This Row],[Location]],Table2[Shop name],Table2[Category],"OCCATIONAL",0,1)</f>
        <v>OTHER</v>
      </c>
      <c r="K135" s="2"/>
      <c r="L135" s="2"/>
    </row>
    <row r="136" spans="1:12" x14ac:dyDescent="0.2">
      <c r="A136" s="7">
        <v>45839</v>
      </c>
      <c r="B136" s="2" t="str">
        <f t="shared" si="2"/>
        <v>July</v>
      </c>
      <c r="C136" s="2" t="s">
        <v>38</v>
      </c>
      <c r="D136" s="2" t="s">
        <v>19</v>
      </c>
      <c r="E136">
        <v>32.89</v>
      </c>
      <c r="F136" s="12" t="str">
        <f>_xlfn.XLOOKUP(raw_data_23[[#This Row],[Location]],Table2[Shop name],Table2[Category],"OCCATIONAL",0,1)</f>
        <v>GROCERIES</v>
      </c>
      <c r="K136" s="2"/>
      <c r="L136" s="2"/>
    </row>
    <row r="137" spans="1:12" x14ac:dyDescent="0.2">
      <c r="A137" s="7">
        <v>45840</v>
      </c>
      <c r="B137" s="2" t="str">
        <f t="shared" si="2"/>
        <v>July</v>
      </c>
      <c r="C137" s="2" t="s">
        <v>150</v>
      </c>
      <c r="D137" s="2" t="s">
        <v>19</v>
      </c>
      <c r="E137">
        <v>6.99</v>
      </c>
      <c r="F137" s="12" t="str">
        <f>_xlfn.XLOOKUP(raw_data_23[[#This Row],[Location]],Table2[Shop name],Table2[Category],"OCCATIONAL",0,1)</f>
        <v>OCCATIONAL</v>
      </c>
      <c r="K137" s="2"/>
    </row>
    <row r="138" spans="1:12" x14ac:dyDescent="0.2">
      <c r="A138" s="7">
        <v>45840</v>
      </c>
      <c r="B138" s="2" t="str">
        <f t="shared" si="2"/>
        <v>July</v>
      </c>
      <c r="C138" s="2" t="s">
        <v>146</v>
      </c>
      <c r="D138" s="2" t="s">
        <v>19</v>
      </c>
      <c r="E138">
        <v>4.1900000000000004</v>
      </c>
      <c r="F138" s="12" t="str">
        <f>_xlfn.XLOOKUP(raw_data_23[[#This Row],[Location]],Table2[Shop name],Table2[Category],"OCCATIONAL",0,1)</f>
        <v>GROCERIES</v>
      </c>
      <c r="K138" s="2"/>
    </row>
    <row r="139" spans="1:12" x14ac:dyDescent="0.2">
      <c r="A139" s="7">
        <v>45840</v>
      </c>
      <c r="B139" s="2" t="str">
        <f t="shared" si="2"/>
        <v>July</v>
      </c>
      <c r="C139" s="2" t="s">
        <v>83</v>
      </c>
      <c r="D139" s="2" t="s">
        <v>19</v>
      </c>
      <c r="E139">
        <v>19.25</v>
      </c>
      <c r="F139" s="12" t="str">
        <f>_xlfn.XLOOKUP(raw_data_23[[#This Row],[Location]],Table2[Shop name],Table2[Category],"OCCATIONAL",0,1)</f>
        <v>FOOD</v>
      </c>
      <c r="K139" s="2"/>
    </row>
    <row r="140" spans="1:12" x14ac:dyDescent="0.2">
      <c r="A140" s="7">
        <v>45840</v>
      </c>
      <c r="B140" s="2" t="str">
        <f t="shared" si="2"/>
        <v>July</v>
      </c>
      <c r="C140" s="2" t="s">
        <v>56</v>
      </c>
      <c r="D140" s="2" t="s">
        <v>19</v>
      </c>
      <c r="E140">
        <v>1.25</v>
      </c>
      <c r="F140" s="12" t="str">
        <f>_xlfn.XLOOKUP(raw_data_23[[#This Row],[Location]],Table2[Shop name],Table2[Category],"OCCATIONAL",0,1)</f>
        <v>HOME NEEDS</v>
      </c>
      <c r="K140" s="2"/>
    </row>
    <row r="141" spans="1:12" x14ac:dyDescent="0.2">
      <c r="A141" s="7">
        <v>45840</v>
      </c>
      <c r="B141" s="2" t="str">
        <f t="shared" si="2"/>
        <v>July</v>
      </c>
      <c r="C141" s="2" t="s">
        <v>21</v>
      </c>
      <c r="D141" s="2" t="s">
        <v>19</v>
      </c>
      <c r="E141">
        <v>25</v>
      </c>
      <c r="F141" s="12" t="str">
        <f>_xlfn.XLOOKUP(raw_data_23[[#This Row],[Location]],Table2[Shop name],Table2[Category],"OCCATIONAL",0,1)</f>
        <v>TRAVEL</v>
      </c>
      <c r="K141" s="2"/>
    </row>
    <row r="142" spans="1:12" x14ac:dyDescent="0.2">
      <c r="A142" s="7">
        <v>45840</v>
      </c>
      <c r="B142" s="2" t="str">
        <f t="shared" si="2"/>
        <v>July</v>
      </c>
      <c r="C142" s="2" t="s">
        <v>21</v>
      </c>
      <c r="D142" s="2" t="s">
        <v>19</v>
      </c>
      <c r="E142">
        <v>20</v>
      </c>
      <c r="F142" s="12" t="str">
        <f>_xlfn.XLOOKUP(raw_data_23[[#This Row],[Location]],Table2[Shop name],Table2[Category],"OCCATIONAL",0,1)</f>
        <v>TRAVEL</v>
      </c>
      <c r="K142" s="2"/>
    </row>
    <row r="143" spans="1:12" x14ac:dyDescent="0.2">
      <c r="A143" s="7">
        <v>45840</v>
      </c>
      <c r="B143" s="2" t="str">
        <f t="shared" si="2"/>
        <v>July</v>
      </c>
      <c r="C143" s="2" t="s">
        <v>47</v>
      </c>
      <c r="D143" s="2" t="s">
        <v>19</v>
      </c>
      <c r="E143">
        <v>13.34</v>
      </c>
      <c r="F143" s="12" t="str">
        <f>_xlfn.XLOOKUP(raw_data_23[[#This Row],[Location]],Table2[Shop name],Table2[Category],"OCCATIONAL",0,1)</f>
        <v>GROCERIES</v>
      </c>
      <c r="K143" s="2"/>
    </row>
    <row r="144" spans="1:12" x14ac:dyDescent="0.2">
      <c r="A144" s="7">
        <v>45840</v>
      </c>
      <c r="B144" s="2" t="str">
        <f t="shared" si="2"/>
        <v>July</v>
      </c>
      <c r="C144" s="2" t="s">
        <v>37</v>
      </c>
      <c r="D144" s="2" t="s">
        <v>19</v>
      </c>
      <c r="E144">
        <v>172.29</v>
      </c>
      <c r="F144" s="12" t="str">
        <f>_xlfn.XLOOKUP(raw_data_23[[#This Row],[Location]],Table2[Shop name],Table2[Category],"OCCATIONAL",0,1)</f>
        <v>GROCERIES</v>
      </c>
      <c r="K144" s="2"/>
    </row>
    <row r="145" spans="1:11" x14ac:dyDescent="0.2">
      <c r="A145" s="7">
        <v>45840</v>
      </c>
      <c r="B145" s="2" t="str">
        <f t="shared" si="2"/>
        <v>July</v>
      </c>
      <c r="C145" s="2" t="s">
        <v>23</v>
      </c>
      <c r="D145" s="2" t="s">
        <v>19</v>
      </c>
      <c r="E145">
        <v>55</v>
      </c>
      <c r="F145" s="12" t="str">
        <f>_xlfn.XLOOKUP(raw_data_23[[#This Row],[Location]],Table2[Shop name],Table2[Category],"OCCATIONAL",0,1)</f>
        <v>OTHER</v>
      </c>
      <c r="K145" s="2"/>
    </row>
    <row r="146" spans="1:11" x14ac:dyDescent="0.2">
      <c r="A146" s="7">
        <v>45841</v>
      </c>
      <c r="B146" s="2" t="str">
        <f t="shared" si="2"/>
        <v>July</v>
      </c>
      <c r="C146" s="2" t="s">
        <v>49</v>
      </c>
      <c r="D146" s="2" t="s">
        <v>19</v>
      </c>
      <c r="E146">
        <v>8</v>
      </c>
      <c r="F146" s="12" t="str">
        <f>_xlfn.XLOOKUP(raw_data_23[[#This Row],[Location]],Table2[Shop name],Table2[Category],"OCCATIONAL",0,1)</f>
        <v>COFFEE SHOP</v>
      </c>
      <c r="K146" s="2"/>
    </row>
    <row r="147" spans="1:11" x14ac:dyDescent="0.2">
      <c r="A147" s="7">
        <v>45841</v>
      </c>
      <c r="B147" s="2" t="str">
        <f t="shared" si="2"/>
        <v>July</v>
      </c>
      <c r="C147" s="2" t="s">
        <v>37</v>
      </c>
      <c r="D147" s="2" t="s">
        <v>19</v>
      </c>
      <c r="E147">
        <v>16.559999999999999</v>
      </c>
      <c r="F147" s="12" t="str">
        <f>_xlfn.XLOOKUP(raw_data_23[[#This Row],[Location]],Table2[Shop name],Table2[Category],"OCCATIONAL",0,1)</f>
        <v>GROCERIES</v>
      </c>
      <c r="K147" s="2"/>
    </row>
    <row r="148" spans="1:11" x14ac:dyDescent="0.2">
      <c r="A148" s="7">
        <v>45843</v>
      </c>
      <c r="B148" s="2" t="str">
        <f t="shared" si="2"/>
        <v>July</v>
      </c>
      <c r="C148" s="2" t="s">
        <v>51</v>
      </c>
      <c r="D148" s="2" t="s">
        <v>19</v>
      </c>
      <c r="E148">
        <v>36.75</v>
      </c>
      <c r="F148" s="12" t="str">
        <f>_xlfn.XLOOKUP(raw_data_23[[#This Row],[Location]],Table2[Shop name],Table2[Category],"OCCATIONAL",0,1)</f>
        <v>GROCERIES</v>
      </c>
      <c r="K148" s="2"/>
    </row>
    <row r="149" spans="1:11" x14ac:dyDescent="0.2">
      <c r="A149" s="7">
        <v>45843</v>
      </c>
      <c r="B149" s="2" t="str">
        <f t="shared" si="2"/>
        <v>July</v>
      </c>
      <c r="C149" s="2" t="s">
        <v>84</v>
      </c>
      <c r="D149" s="2" t="s">
        <v>19</v>
      </c>
      <c r="E149">
        <v>52</v>
      </c>
      <c r="F149" s="12" t="str">
        <f>_xlfn.XLOOKUP(raw_data_23[[#This Row],[Location]],Table2[Shop name],Table2[Category],"OCCATIONAL",0,1)</f>
        <v>CLOTHING</v>
      </c>
      <c r="K149" s="2"/>
    </row>
    <row r="150" spans="1:11" x14ac:dyDescent="0.2">
      <c r="A150" s="7">
        <v>45843</v>
      </c>
      <c r="B150" s="2" t="str">
        <f t="shared" si="2"/>
        <v>July</v>
      </c>
      <c r="C150" s="2" t="s">
        <v>37</v>
      </c>
      <c r="D150" s="2" t="s">
        <v>19</v>
      </c>
      <c r="E150">
        <v>246.86</v>
      </c>
      <c r="F150" s="12" t="str">
        <f>_xlfn.XLOOKUP(raw_data_23[[#This Row],[Location]],Table2[Shop name],Table2[Category],"OCCATIONAL",0,1)</f>
        <v>GROCERIES</v>
      </c>
      <c r="K150" s="2"/>
    </row>
    <row r="151" spans="1:11" x14ac:dyDescent="0.2">
      <c r="A151" s="7">
        <v>45843</v>
      </c>
      <c r="B151" s="2" t="str">
        <f t="shared" si="2"/>
        <v>July</v>
      </c>
      <c r="C151" s="2" t="s">
        <v>85</v>
      </c>
      <c r="D151" s="2" t="s">
        <v>19</v>
      </c>
      <c r="E151">
        <v>15</v>
      </c>
      <c r="F151" s="12" t="str">
        <f>_xlfn.XLOOKUP(raw_data_23[[#This Row],[Location]],Table2[Shop name],Table2[Category],"OCCATIONAL",0,1)</f>
        <v>HOME NEEDS</v>
      </c>
      <c r="K151" s="2"/>
    </row>
    <row r="152" spans="1:11" x14ac:dyDescent="0.2">
      <c r="A152" s="7">
        <v>45843</v>
      </c>
      <c r="B152" s="2" t="str">
        <f t="shared" si="2"/>
        <v>July</v>
      </c>
      <c r="C152" s="2" t="s">
        <v>86</v>
      </c>
      <c r="D152" s="2" t="s">
        <v>19</v>
      </c>
      <c r="E152">
        <v>44</v>
      </c>
      <c r="F152" s="12" t="str">
        <f>_xlfn.XLOOKUP(raw_data_23[[#This Row],[Location]],Table2[Shop name],Table2[Category],"OCCATIONAL",0,1)</f>
        <v>HOME NEEDS</v>
      </c>
      <c r="K152" s="2"/>
    </row>
    <row r="153" spans="1:11" x14ac:dyDescent="0.2">
      <c r="A153" s="7">
        <v>45843</v>
      </c>
      <c r="B153" s="2" t="str">
        <f t="shared" si="2"/>
        <v>July</v>
      </c>
      <c r="C153" s="2" t="s">
        <v>38</v>
      </c>
      <c r="D153" s="2" t="s">
        <v>19</v>
      </c>
      <c r="E153">
        <v>7.99</v>
      </c>
      <c r="F153" s="12" t="str">
        <f>_xlfn.XLOOKUP(raw_data_23[[#This Row],[Location]],Table2[Shop name],Table2[Category],"OCCATIONAL",0,1)</f>
        <v>GROCERIES</v>
      </c>
      <c r="K153" s="2"/>
    </row>
    <row r="154" spans="1:11" x14ac:dyDescent="0.2">
      <c r="A154" s="7">
        <v>45844</v>
      </c>
      <c r="B154" s="2" t="str">
        <f t="shared" si="2"/>
        <v>July</v>
      </c>
      <c r="C154" s="2" t="s">
        <v>145</v>
      </c>
      <c r="D154" s="2" t="s">
        <v>19</v>
      </c>
      <c r="E154">
        <v>124.95</v>
      </c>
      <c r="F154" s="12" t="str">
        <f>_xlfn.XLOOKUP(raw_data_23[[#This Row],[Location]],Table2[Shop name],Table2[Category],"OCCATIONAL",0,1)</f>
        <v>OCCATIONAL</v>
      </c>
      <c r="K154" s="2"/>
    </row>
    <row r="155" spans="1:11" x14ac:dyDescent="0.2">
      <c r="A155" s="7">
        <v>45845</v>
      </c>
      <c r="B155" s="2" t="str">
        <f t="shared" si="2"/>
        <v>July</v>
      </c>
      <c r="C155" s="2" t="s">
        <v>92</v>
      </c>
      <c r="D155" s="2" t="s">
        <v>33</v>
      </c>
      <c r="E155">
        <v>119.95</v>
      </c>
      <c r="F155" s="12" t="str">
        <f>_xlfn.XLOOKUP(raw_data_23[[#This Row],[Location]],Table2[Shop name],Table2[Category],"OCCATIONAL",0,1)</f>
        <v>HOME NEEDS</v>
      </c>
      <c r="K155" s="2"/>
    </row>
    <row r="156" spans="1:11" x14ac:dyDescent="0.2">
      <c r="A156" s="7">
        <v>45845</v>
      </c>
      <c r="B156" s="2" t="str">
        <f t="shared" si="2"/>
        <v>July</v>
      </c>
      <c r="C156" s="2" t="s">
        <v>6</v>
      </c>
      <c r="D156" s="2" t="s">
        <v>33</v>
      </c>
      <c r="E156">
        <v>15.43</v>
      </c>
      <c r="F156" s="12" t="str">
        <f>_xlfn.XLOOKUP(raw_data_23[[#This Row],[Location]],Table2[Shop name],Table2[Category],"OCCATIONAL",0,1)</f>
        <v>TRAVEL</v>
      </c>
      <c r="K156" s="2"/>
    </row>
    <row r="157" spans="1:11" x14ac:dyDescent="0.2">
      <c r="A157" s="7">
        <v>45845</v>
      </c>
      <c r="B157" s="2" t="str">
        <f t="shared" si="2"/>
        <v>July</v>
      </c>
      <c r="C157" s="2" t="s">
        <v>87</v>
      </c>
      <c r="D157" s="2" t="s">
        <v>19</v>
      </c>
      <c r="E157">
        <v>42</v>
      </c>
      <c r="F157" s="12" t="str">
        <f>_xlfn.XLOOKUP(raw_data_23[[#This Row],[Location]],Table2[Shop name],Table2[Category],"OCCATIONAL",0,1)</f>
        <v>FOOD</v>
      </c>
      <c r="K157" s="2"/>
    </row>
    <row r="158" spans="1:11" x14ac:dyDescent="0.2">
      <c r="A158" s="7">
        <v>45845</v>
      </c>
      <c r="B158" s="2" t="str">
        <f t="shared" si="2"/>
        <v>July</v>
      </c>
      <c r="C158" s="2" t="s">
        <v>146</v>
      </c>
      <c r="D158" s="2" t="s">
        <v>19</v>
      </c>
      <c r="E158">
        <v>30.07</v>
      </c>
      <c r="F158" s="12" t="str">
        <f>_xlfn.XLOOKUP(raw_data_23[[#This Row],[Location]],Table2[Shop name],Table2[Category],"OCCATIONAL",0,1)</f>
        <v>GROCERIES</v>
      </c>
      <c r="K158" s="2"/>
    </row>
    <row r="159" spans="1:11" x14ac:dyDescent="0.2">
      <c r="A159" s="7">
        <v>45845</v>
      </c>
      <c r="B159" s="2" t="str">
        <f t="shared" si="2"/>
        <v>July</v>
      </c>
      <c r="C159" s="2" t="s">
        <v>21</v>
      </c>
      <c r="D159" s="2" t="s">
        <v>19</v>
      </c>
      <c r="E159">
        <v>20</v>
      </c>
      <c r="F159" s="12" t="str">
        <f>_xlfn.XLOOKUP(raw_data_23[[#This Row],[Location]],Table2[Shop name],Table2[Category],"OCCATIONAL",0,1)</f>
        <v>TRAVEL</v>
      </c>
      <c r="K159" s="2"/>
    </row>
    <row r="160" spans="1:11" x14ac:dyDescent="0.2">
      <c r="A160" s="7">
        <v>45846</v>
      </c>
      <c r="B160" s="2" t="str">
        <f t="shared" si="2"/>
        <v>July</v>
      </c>
      <c r="C160" s="2" t="s">
        <v>7</v>
      </c>
      <c r="D160" s="2" t="s">
        <v>19</v>
      </c>
      <c r="E160">
        <v>12</v>
      </c>
      <c r="F160" s="12" t="str">
        <f>_xlfn.XLOOKUP(raw_data_23[[#This Row],[Location]],Table2[Shop name],Table2[Category],"OCCATIONAL",0,1)</f>
        <v>OCCATIONAL</v>
      </c>
      <c r="K160" s="2"/>
    </row>
    <row r="161" spans="1:11" x14ac:dyDescent="0.2">
      <c r="A161" s="7">
        <v>45846</v>
      </c>
      <c r="B161" s="2" t="str">
        <f t="shared" si="2"/>
        <v>July</v>
      </c>
      <c r="C161" s="2" t="s">
        <v>13</v>
      </c>
      <c r="D161" s="2" t="s">
        <v>8</v>
      </c>
      <c r="E161">
        <v>141.97</v>
      </c>
      <c r="F161" s="12" t="str">
        <f>_xlfn.XLOOKUP(raw_data_23[[#This Row],[Location]],Table2[Shop name],Table2[Category],"OCCATIONAL",0,1)</f>
        <v>ONLINE ORDERS</v>
      </c>
      <c r="K161" s="2"/>
    </row>
    <row r="162" spans="1:11" x14ac:dyDescent="0.2">
      <c r="A162" s="7">
        <v>45847</v>
      </c>
      <c r="B162" s="2" t="str">
        <f t="shared" si="2"/>
        <v>July</v>
      </c>
      <c r="C162" s="2" t="s">
        <v>56</v>
      </c>
      <c r="D162" s="2" t="s">
        <v>19</v>
      </c>
      <c r="E162">
        <v>56.8</v>
      </c>
      <c r="F162" s="12" t="str">
        <f>_xlfn.XLOOKUP(raw_data_23[[#This Row],[Location]],Table2[Shop name],Table2[Category],"OCCATIONAL",0,1)</f>
        <v>HOME NEEDS</v>
      </c>
      <c r="K162" s="2"/>
    </row>
    <row r="163" spans="1:11" x14ac:dyDescent="0.2">
      <c r="A163" s="7">
        <v>45847</v>
      </c>
      <c r="B163" s="2" t="str">
        <f t="shared" si="2"/>
        <v>July</v>
      </c>
      <c r="C163" s="2" t="s">
        <v>37</v>
      </c>
      <c r="D163" s="2" t="s">
        <v>19</v>
      </c>
      <c r="E163">
        <v>198.1</v>
      </c>
      <c r="F163" s="12" t="str">
        <f>_xlfn.XLOOKUP(raw_data_23[[#This Row],[Location]],Table2[Shop name],Table2[Category],"OCCATIONAL",0,1)</f>
        <v>GROCERIES</v>
      </c>
      <c r="K163" s="2"/>
    </row>
    <row r="164" spans="1:11" x14ac:dyDescent="0.2">
      <c r="A164" s="7">
        <v>45848</v>
      </c>
      <c r="B164" s="2" t="str">
        <f t="shared" si="2"/>
        <v>July</v>
      </c>
      <c r="C164" s="2" t="s">
        <v>51</v>
      </c>
      <c r="D164" s="2" t="s">
        <v>19</v>
      </c>
      <c r="E164">
        <v>177.98</v>
      </c>
      <c r="F164" s="12" t="str">
        <f>_xlfn.XLOOKUP(raw_data_23[[#This Row],[Location]],Table2[Shop name],Table2[Category],"OCCATIONAL",0,1)</f>
        <v>GROCERIES</v>
      </c>
      <c r="K164" s="2"/>
    </row>
    <row r="165" spans="1:11" x14ac:dyDescent="0.2">
      <c r="A165" s="7">
        <v>45848</v>
      </c>
      <c r="B165" s="2" t="str">
        <f t="shared" si="2"/>
        <v>July</v>
      </c>
      <c r="C165" s="2" t="s">
        <v>166</v>
      </c>
      <c r="D165" s="2" t="s">
        <v>19</v>
      </c>
      <c r="E165">
        <v>19.25</v>
      </c>
      <c r="F165" s="12" t="str">
        <f>_xlfn.XLOOKUP(raw_data_23[[#This Row],[Location]],Table2[Shop name],Table2[Category],"OCCATIONAL",0,1)</f>
        <v>FOOD</v>
      </c>
      <c r="K165" s="2"/>
    </row>
    <row r="166" spans="1:11" x14ac:dyDescent="0.2">
      <c r="A166" s="7">
        <v>45848</v>
      </c>
      <c r="B166" s="2" t="str">
        <f t="shared" si="2"/>
        <v>July</v>
      </c>
      <c r="C166" s="2" t="s">
        <v>21</v>
      </c>
      <c r="D166" s="2" t="s">
        <v>19</v>
      </c>
      <c r="E166">
        <v>20</v>
      </c>
      <c r="F166" s="12" t="str">
        <f>_xlfn.XLOOKUP(raw_data_23[[#This Row],[Location]],Table2[Shop name],Table2[Category],"OCCATIONAL",0,1)</f>
        <v>TRAVEL</v>
      </c>
      <c r="K166" s="2"/>
    </row>
    <row r="167" spans="1:11" x14ac:dyDescent="0.2">
      <c r="A167" s="7">
        <v>45848</v>
      </c>
      <c r="B167" s="2" t="str">
        <f t="shared" si="2"/>
        <v>July</v>
      </c>
      <c r="C167" s="2" t="s">
        <v>13</v>
      </c>
      <c r="D167" s="2" t="s">
        <v>8</v>
      </c>
      <c r="E167">
        <v>133.16999999999999</v>
      </c>
      <c r="F167" s="12" t="str">
        <f>_xlfn.XLOOKUP(raw_data_23[[#This Row],[Location]],Table2[Shop name],Table2[Category],"OCCATIONAL",0,1)</f>
        <v>ONLINE ORDERS</v>
      </c>
      <c r="K167" s="2"/>
    </row>
    <row r="168" spans="1:11" x14ac:dyDescent="0.2">
      <c r="A168" s="7">
        <v>45850</v>
      </c>
      <c r="B168" s="2" t="str">
        <f t="shared" si="2"/>
        <v>July</v>
      </c>
      <c r="C168" s="2" t="s">
        <v>62</v>
      </c>
      <c r="D168" s="2" t="s">
        <v>19</v>
      </c>
      <c r="E168">
        <v>114.5</v>
      </c>
      <c r="F168" s="12" t="str">
        <f>_xlfn.XLOOKUP(raw_data_23[[#This Row],[Location]],Table2[Shop name],Table2[Category],"OCCATIONAL",0,1)</f>
        <v>HOME NEEDS</v>
      </c>
      <c r="K168" s="2"/>
    </row>
    <row r="169" spans="1:11" x14ac:dyDescent="0.2">
      <c r="A169" s="7">
        <v>45850</v>
      </c>
      <c r="B169" s="2" t="str">
        <f t="shared" si="2"/>
        <v>July</v>
      </c>
      <c r="C169" s="2" t="s">
        <v>69</v>
      </c>
      <c r="D169" s="2" t="s">
        <v>19</v>
      </c>
      <c r="E169">
        <v>137.97</v>
      </c>
      <c r="F169" s="12" t="str">
        <f>_xlfn.XLOOKUP(raw_data_23[[#This Row],[Location]],Table2[Shop name],Table2[Category],"OCCATIONAL",0,1)</f>
        <v>CLOTHING</v>
      </c>
      <c r="K169" s="2"/>
    </row>
    <row r="170" spans="1:11" x14ac:dyDescent="0.2">
      <c r="A170" s="7">
        <v>45850</v>
      </c>
      <c r="B170" s="2" t="str">
        <f t="shared" si="2"/>
        <v>July</v>
      </c>
      <c r="C170" s="2" t="s">
        <v>51</v>
      </c>
      <c r="D170" s="2" t="s">
        <v>19</v>
      </c>
      <c r="E170">
        <v>217.69</v>
      </c>
      <c r="F170" s="12" t="str">
        <f>_xlfn.XLOOKUP(raw_data_23[[#This Row],[Location]],Table2[Shop name],Table2[Category],"OCCATIONAL",0,1)</f>
        <v>GROCERIES</v>
      </c>
      <c r="K170" s="2"/>
    </row>
    <row r="171" spans="1:11" x14ac:dyDescent="0.2">
      <c r="A171" s="7">
        <v>45850</v>
      </c>
      <c r="B171" s="2" t="str">
        <f t="shared" si="2"/>
        <v>July</v>
      </c>
      <c r="C171" s="2" t="s">
        <v>40</v>
      </c>
      <c r="D171" s="2" t="s">
        <v>19</v>
      </c>
      <c r="E171">
        <v>124.75</v>
      </c>
      <c r="F171" s="12" t="str">
        <f>_xlfn.XLOOKUP(raw_data_23[[#This Row],[Location]],Table2[Shop name],Table2[Category],"OCCATIONAL",0,1)</f>
        <v>GROCERIES</v>
      </c>
      <c r="K171" s="2"/>
    </row>
    <row r="172" spans="1:11" x14ac:dyDescent="0.2">
      <c r="A172" s="7">
        <v>45850</v>
      </c>
      <c r="B172" s="2" t="str">
        <f t="shared" si="2"/>
        <v>July</v>
      </c>
      <c r="C172" s="2" t="s">
        <v>166</v>
      </c>
      <c r="D172" s="2" t="s">
        <v>19</v>
      </c>
      <c r="E172">
        <v>16.260000000000002</v>
      </c>
      <c r="F172" s="12" t="str">
        <f>_xlfn.XLOOKUP(raw_data_23[[#This Row],[Location]],Table2[Shop name],Table2[Category],"OCCATIONAL",0,1)</f>
        <v>FOOD</v>
      </c>
      <c r="K172" s="2"/>
    </row>
    <row r="173" spans="1:11" x14ac:dyDescent="0.2">
      <c r="A173" s="7">
        <v>45850</v>
      </c>
      <c r="B173" s="2" t="str">
        <f t="shared" si="2"/>
        <v>July</v>
      </c>
      <c r="C173" s="2" t="s">
        <v>21</v>
      </c>
      <c r="D173" s="2" t="s">
        <v>19</v>
      </c>
      <c r="E173">
        <v>20</v>
      </c>
      <c r="F173" s="12" t="str">
        <f>_xlfn.XLOOKUP(raw_data_23[[#This Row],[Location]],Table2[Shop name],Table2[Category],"OCCATIONAL",0,1)</f>
        <v>TRAVEL</v>
      </c>
      <c r="K173" s="2"/>
    </row>
    <row r="174" spans="1:11" x14ac:dyDescent="0.2">
      <c r="A174" s="7">
        <v>45850</v>
      </c>
      <c r="B174" s="2" t="str">
        <f t="shared" si="2"/>
        <v>July</v>
      </c>
      <c r="C174" s="2" t="s">
        <v>44</v>
      </c>
      <c r="D174" s="2" t="s">
        <v>19</v>
      </c>
      <c r="E174">
        <v>36.75</v>
      </c>
      <c r="F174" s="12" t="str">
        <f>_xlfn.XLOOKUP(raw_data_23[[#This Row],[Location]],Table2[Shop name],Table2[Category],"OCCATIONAL",0,1)</f>
        <v>OCCATIONAL</v>
      </c>
      <c r="K174" s="2"/>
    </row>
    <row r="175" spans="1:11" x14ac:dyDescent="0.2">
      <c r="A175" s="7">
        <v>45850</v>
      </c>
      <c r="B175" s="2" t="str">
        <f t="shared" si="2"/>
        <v>July</v>
      </c>
      <c r="C175" s="2" t="s">
        <v>153</v>
      </c>
      <c r="D175" s="2" t="s">
        <v>19</v>
      </c>
      <c r="E175">
        <v>10.99</v>
      </c>
      <c r="F175" s="12" t="str">
        <f>_xlfn.XLOOKUP(raw_data_23[[#This Row],[Location]],Table2[Shop name],Table2[Category],"OCCATIONAL",0,1)</f>
        <v>HOME NEEDS</v>
      </c>
      <c r="K175" s="2"/>
    </row>
    <row r="176" spans="1:11" x14ac:dyDescent="0.2">
      <c r="A176" s="7">
        <v>45850</v>
      </c>
      <c r="B176" s="2" t="str">
        <f t="shared" si="2"/>
        <v>July</v>
      </c>
      <c r="C176" s="2" t="s">
        <v>153</v>
      </c>
      <c r="D176" s="2" t="s">
        <v>19</v>
      </c>
      <c r="E176">
        <v>4.99</v>
      </c>
      <c r="F176" s="12" t="str">
        <f>_xlfn.XLOOKUP(raw_data_23[[#This Row],[Location]],Table2[Shop name],Table2[Category],"OCCATIONAL",0,1)</f>
        <v>HOME NEEDS</v>
      </c>
      <c r="K176" s="2"/>
    </row>
    <row r="177" spans="1:11" x14ac:dyDescent="0.2">
      <c r="A177" s="7">
        <v>45850</v>
      </c>
      <c r="B177" s="2" t="str">
        <f t="shared" si="2"/>
        <v>July</v>
      </c>
      <c r="C177" s="2" t="s">
        <v>46</v>
      </c>
      <c r="D177" s="2" t="s">
        <v>19</v>
      </c>
      <c r="E177">
        <v>37</v>
      </c>
      <c r="F177" s="12" t="str">
        <f>_xlfn.XLOOKUP(raw_data_23[[#This Row],[Location]],Table2[Shop name],Table2[Category],"OCCATIONAL",0,1)</f>
        <v>FOOD</v>
      </c>
      <c r="K177" s="2"/>
    </row>
    <row r="178" spans="1:11" x14ac:dyDescent="0.2">
      <c r="A178" s="7">
        <v>45852</v>
      </c>
      <c r="B178" s="2" t="str">
        <f t="shared" si="2"/>
        <v>July</v>
      </c>
      <c r="C178" s="2" t="s">
        <v>56</v>
      </c>
      <c r="D178" s="2" t="s">
        <v>19</v>
      </c>
      <c r="E178">
        <v>132.15</v>
      </c>
      <c r="F178" s="12" t="str">
        <f>_xlfn.XLOOKUP(raw_data_23[[#This Row],[Location]],Table2[Shop name],Table2[Category],"OCCATIONAL",0,1)</f>
        <v>HOME NEEDS</v>
      </c>
    </row>
    <row r="179" spans="1:11" x14ac:dyDescent="0.2">
      <c r="A179" s="7">
        <v>45852</v>
      </c>
      <c r="B179" s="2" t="str">
        <f t="shared" si="2"/>
        <v>July</v>
      </c>
      <c r="C179" s="2" t="s">
        <v>37</v>
      </c>
      <c r="D179" s="2" t="s">
        <v>19</v>
      </c>
      <c r="E179">
        <v>64.3</v>
      </c>
      <c r="F179" s="12" t="str">
        <f>_xlfn.XLOOKUP(raw_data_23[[#This Row],[Location]],Table2[Shop name],Table2[Category],"OCCATIONAL",0,1)</f>
        <v>GROCERIES</v>
      </c>
    </row>
    <row r="180" spans="1:11" x14ac:dyDescent="0.2">
      <c r="A180" s="7">
        <v>45854</v>
      </c>
      <c r="B180" s="2" t="str">
        <f t="shared" si="2"/>
        <v>July</v>
      </c>
      <c r="C180" s="2" t="s">
        <v>150</v>
      </c>
      <c r="D180" s="2" t="s">
        <v>19</v>
      </c>
      <c r="E180">
        <v>19.989999999999998</v>
      </c>
      <c r="F180" s="12" t="str">
        <f>_xlfn.XLOOKUP(raw_data_23[[#This Row],[Location]],Table2[Shop name],Table2[Category],"OCCATIONAL",0,1)</f>
        <v>OCCATIONAL</v>
      </c>
    </row>
    <row r="181" spans="1:11" x14ac:dyDescent="0.2">
      <c r="A181" s="7">
        <v>45854</v>
      </c>
      <c r="B181" s="2" t="str">
        <f t="shared" si="2"/>
        <v>July</v>
      </c>
      <c r="C181" s="2" t="s">
        <v>150</v>
      </c>
      <c r="D181" s="2" t="s">
        <v>19</v>
      </c>
      <c r="E181">
        <v>5</v>
      </c>
      <c r="F181" s="12" t="str">
        <f>_xlfn.XLOOKUP(raw_data_23[[#This Row],[Location]],Table2[Shop name],Table2[Category],"OCCATIONAL",0,1)</f>
        <v>OCCATIONAL</v>
      </c>
    </row>
    <row r="182" spans="1:11" x14ac:dyDescent="0.2">
      <c r="A182" s="7">
        <v>45854</v>
      </c>
      <c r="B182" s="2" t="str">
        <f t="shared" si="2"/>
        <v>July</v>
      </c>
      <c r="C182" s="2" t="s">
        <v>37</v>
      </c>
      <c r="D182" s="2" t="s">
        <v>19</v>
      </c>
      <c r="E182">
        <v>328.28</v>
      </c>
      <c r="F182" s="12" t="str">
        <f>_xlfn.XLOOKUP(raw_data_23[[#This Row],[Location]],Table2[Shop name],Table2[Category],"OCCATIONAL",0,1)</f>
        <v>GROCERIES</v>
      </c>
    </row>
    <row r="183" spans="1:11" x14ac:dyDescent="0.2">
      <c r="A183" s="7">
        <v>45855</v>
      </c>
      <c r="B183" s="2" t="str">
        <f t="shared" si="2"/>
        <v>July</v>
      </c>
      <c r="C183" s="2" t="s">
        <v>56</v>
      </c>
      <c r="D183" s="2" t="s">
        <v>19</v>
      </c>
      <c r="E183">
        <v>36.9</v>
      </c>
      <c r="F183" s="12" t="str">
        <f>_xlfn.XLOOKUP(raw_data_23[[#This Row],[Location]],Table2[Shop name],Table2[Category],"OCCATIONAL",0,1)</f>
        <v>HOME NEEDS</v>
      </c>
    </row>
    <row r="184" spans="1:11" x14ac:dyDescent="0.2">
      <c r="A184" s="7">
        <v>45855</v>
      </c>
      <c r="B184" s="2" t="str">
        <f t="shared" si="2"/>
        <v>July</v>
      </c>
      <c r="C184" s="2" t="s">
        <v>53</v>
      </c>
      <c r="D184" s="2" t="s">
        <v>19</v>
      </c>
      <c r="E184">
        <v>87.62</v>
      </c>
      <c r="F184" s="12" t="str">
        <f>_xlfn.XLOOKUP(raw_data_23[[#This Row],[Location]],Table2[Shop name],Table2[Category],"OCCATIONAL",0,1)</f>
        <v>HOME NEEDS</v>
      </c>
    </row>
    <row r="185" spans="1:11" x14ac:dyDescent="0.2">
      <c r="A185" s="7">
        <v>45855</v>
      </c>
      <c r="B185" s="2" t="str">
        <f t="shared" si="2"/>
        <v>July</v>
      </c>
      <c r="C185" s="2" t="s">
        <v>37</v>
      </c>
      <c r="D185" s="2" t="s">
        <v>19</v>
      </c>
      <c r="E185">
        <v>15.99</v>
      </c>
      <c r="F185" s="12" t="str">
        <f>_xlfn.XLOOKUP(raw_data_23[[#This Row],[Location]],Table2[Shop name],Table2[Category],"OCCATIONAL",0,1)</f>
        <v>GROCERIES</v>
      </c>
    </row>
    <row r="186" spans="1:11" x14ac:dyDescent="0.2">
      <c r="A186" s="7">
        <v>45856</v>
      </c>
      <c r="B186" s="2" t="str">
        <f t="shared" si="2"/>
        <v>July</v>
      </c>
      <c r="C186" s="2" t="s">
        <v>39</v>
      </c>
      <c r="D186" s="2" t="s">
        <v>19</v>
      </c>
      <c r="E186">
        <v>5.34</v>
      </c>
      <c r="F186" s="12" t="str">
        <f>_xlfn.XLOOKUP(raw_data_23[[#This Row],[Location]],Table2[Shop name],Table2[Category],"OCCATIONAL",0,1)</f>
        <v>CLOTHING</v>
      </c>
    </row>
    <row r="187" spans="1:11" x14ac:dyDescent="0.2">
      <c r="A187" s="7">
        <v>45857</v>
      </c>
      <c r="B187" s="2" t="str">
        <f t="shared" si="2"/>
        <v>July</v>
      </c>
      <c r="C187" s="2" t="s">
        <v>51</v>
      </c>
      <c r="D187" s="2" t="s">
        <v>19</v>
      </c>
      <c r="E187">
        <v>241.93</v>
      </c>
      <c r="F187" s="12" t="str">
        <f>_xlfn.XLOOKUP(raw_data_23[[#This Row],[Location]],Table2[Shop name],Table2[Category],"OCCATIONAL",0,1)</f>
        <v>GROCERIES</v>
      </c>
    </row>
    <row r="188" spans="1:11" x14ac:dyDescent="0.2">
      <c r="A188" s="7">
        <v>45857</v>
      </c>
      <c r="B188" s="2" t="str">
        <f t="shared" si="2"/>
        <v>July</v>
      </c>
      <c r="C188" s="2" t="s">
        <v>51</v>
      </c>
      <c r="D188" s="2" t="s">
        <v>19</v>
      </c>
      <c r="E188">
        <v>52.97</v>
      </c>
      <c r="F188" s="12" t="str">
        <f>_xlfn.XLOOKUP(raw_data_23[[#This Row],[Location]],Table2[Shop name],Table2[Category],"OCCATIONAL",0,1)</f>
        <v>GROCERIES</v>
      </c>
    </row>
    <row r="189" spans="1:11" x14ac:dyDescent="0.2">
      <c r="A189" s="7">
        <v>45857</v>
      </c>
      <c r="B189" s="2" t="str">
        <f t="shared" si="2"/>
        <v>July</v>
      </c>
      <c r="C189" s="2" t="s">
        <v>152</v>
      </c>
      <c r="D189" s="2" t="s">
        <v>19</v>
      </c>
      <c r="E189">
        <v>469.99</v>
      </c>
      <c r="F189" s="12" t="str">
        <f>_xlfn.XLOOKUP(raw_data_23[[#This Row],[Location]],Table2[Shop name],Table2[Category],"OCCATIONAL",0,1)</f>
        <v>OCCATIONAL</v>
      </c>
    </row>
    <row r="190" spans="1:11" x14ac:dyDescent="0.2">
      <c r="A190" s="7">
        <v>45857</v>
      </c>
      <c r="B190" s="2" t="str">
        <f t="shared" si="2"/>
        <v>July</v>
      </c>
      <c r="C190" s="2" t="s">
        <v>37</v>
      </c>
      <c r="D190" s="2" t="s">
        <v>19</v>
      </c>
      <c r="E190">
        <v>16.97</v>
      </c>
      <c r="F190" s="12" t="str">
        <f>_xlfn.XLOOKUP(raw_data_23[[#This Row],[Location]],Table2[Shop name],Table2[Category],"OCCATIONAL",0,1)</f>
        <v>GROCERIES</v>
      </c>
    </row>
    <row r="191" spans="1:11" x14ac:dyDescent="0.2">
      <c r="A191" s="7">
        <v>45858</v>
      </c>
      <c r="B191" s="2" t="str">
        <f t="shared" si="2"/>
        <v>July</v>
      </c>
      <c r="C191" s="2" t="s">
        <v>21</v>
      </c>
      <c r="D191" s="2" t="s">
        <v>19</v>
      </c>
      <c r="E191">
        <v>20</v>
      </c>
      <c r="F191" s="12" t="str">
        <f>_xlfn.XLOOKUP(raw_data_23[[#This Row],[Location]],Table2[Shop name],Table2[Category],"OCCATIONAL",0,1)</f>
        <v>TRAVEL</v>
      </c>
    </row>
    <row r="192" spans="1:11" x14ac:dyDescent="0.2">
      <c r="A192" s="7">
        <v>45858</v>
      </c>
      <c r="B192" s="2" t="str">
        <f t="shared" si="2"/>
        <v>July</v>
      </c>
      <c r="C192" s="2" t="s">
        <v>44</v>
      </c>
      <c r="D192" s="2" t="s">
        <v>19</v>
      </c>
      <c r="E192">
        <v>24.9</v>
      </c>
      <c r="F192" s="12" t="str">
        <f>_xlfn.XLOOKUP(raw_data_23[[#This Row],[Location]],Table2[Shop name],Table2[Category],"OCCATIONAL",0,1)</f>
        <v>OCCATIONAL</v>
      </c>
    </row>
    <row r="193" spans="1:6" x14ac:dyDescent="0.2">
      <c r="A193" s="7">
        <v>45859</v>
      </c>
      <c r="B193" s="2" t="str">
        <f t="shared" si="2"/>
        <v>July</v>
      </c>
      <c r="C193" s="2" t="s">
        <v>37</v>
      </c>
      <c r="D193" s="2" t="s">
        <v>19</v>
      </c>
      <c r="E193">
        <v>49.69</v>
      </c>
      <c r="F193" s="12" t="str">
        <f>_xlfn.XLOOKUP(raw_data_23[[#This Row],[Location]],Table2[Shop name],Table2[Category],"OCCATIONAL",0,1)</f>
        <v>GROCERIES</v>
      </c>
    </row>
    <row r="194" spans="1:6" x14ac:dyDescent="0.2">
      <c r="A194" s="7">
        <v>45859</v>
      </c>
      <c r="B194" s="2" t="str">
        <f t="shared" ref="B194:B257" si="3">TEXT(A194,"mmmm")</f>
        <v>July</v>
      </c>
      <c r="C194" s="2" t="s">
        <v>88</v>
      </c>
      <c r="D194" s="2" t="s">
        <v>19</v>
      </c>
      <c r="E194">
        <v>193</v>
      </c>
      <c r="F194" s="12" t="str">
        <f>_xlfn.XLOOKUP(raw_data_23[[#This Row],[Location]],Table2[Shop name],Table2[Category],"OCCATIONAL",0,1)</f>
        <v>OCCATIONAL</v>
      </c>
    </row>
    <row r="195" spans="1:6" x14ac:dyDescent="0.2">
      <c r="A195" s="7">
        <v>45860</v>
      </c>
      <c r="B195" s="2" t="str">
        <f t="shared" si="3"/>
        <v>July</v>
      </c>
      <c r="C195" s="2" t="s">
        <v>21</v>
      </c>
      <c r="D195" s="2" t="s">
        <v>19</v>
      </c>
      <c r="E195">
        <v>20</v>
      </c>
      <c r="F195" s="12" t="str">
        <f>_xlfn.XLOOKUP(raw_data_23[[#This Row],[Location]],Table2[Shop name],Table2[Category],"OCCATIONAL",0,1)</f>
        <v>TRAVEL</v>
      </c>
    </row>
    <row r="196" spans="1:6" x14ac:dyDescent="0.2">
      <c r="A196" s="7">
        <v>45860</v>
      </c>
      <c r="B196" s="2" t="str">
        <f t="shared" si="3"/>
        <v>July</v>
      </c>
      <c r="C196" s="2" t="s">
        <v>37</v>
      </c>
      <c r="D196" s="2" t="s">
        <v>19</v>
      </c>
      <c r="E196">
        <v>15.53</v>
      </c>
      <c r="F196" s="12" t="str">
        <f>_xlfn.XLOOKUP(raw_data_23[[#This Row],[Location]],Table2[Shop name],Table2[Category],"OCCATIONAL",0,1)</f>
        <v>GROCERIES</v>
      </c>
    </row>
    <row r="197" spans="1:6" x14ac:dyDescent="0.2">
      <c r="A197" s="7">
        <v>45860</v>
      </c>
      <c r="B197" s="2" t="str">
        <f t="shared" si="3"/>
        <v>July</v>
      </c>
      <c r="C197" s="2" t="s">
        <v>38</v>
      </c>
      <c r="D197" s="2" t="s">
        <v>19</v>
      </c>
      <c r="E197">
        <v>2.99</v>
      </c>
      <c r="F197" s="12" t="str">
        <f>_xlfn.XLOOKUP(raw_data_23[[#This Row],[Location]],Table2[Shop name],Table2[Category],"OCCATIONAL",0,1)</f>
        <v>GROCERIES</v>
      </c>
    </row>
    <row r="198" spans="1:6" x14ac:dyDescent="0.2">
      <c r="A198" s="7">
        <v>45861</v>
      </c>
      <c r="B198" s="2" t="str">
        <f t="shared" si="3"/>
        <v>July</v>
      </c>
      <c r="C198" s="2" t="s">
        <v>40</v>
      </c>
      <c r="D198" s="2" t="s">
        <v>19</v>
      </c>
      <c r="E198">
        <v>42</v>
      </c>
      <c r="F198" s="12" t="str">
        <f>_xlfn.XLOOKUP(raw_data_23[[#This Row],[Location]],Table2[Shop name],Table2[Category],"OCCATIONAL",0,1)</f>
        <v>GROCERIES</v>
      </c>
    </row>
    <row r="199" spans="1:6" x14ac:dyDescent="0.2">
      <c r="A199" s="7">
        <v>45861</v>
      </c>
      <c r="B199" s="2" t="str">
        <f t="shared" si="3"/>
        <v>July</v>
      </c>
      <c r="C199" s="2" t="s">
        <v>21</v>
      </c>
      <c r="D199" s="2" t="s">
        <v>19</v>
      </c>
      <c r="E199">
        <v>25</v>
      </c>
      <c r="F199" s="12" t="str">
        <f>_xlfn.XLOOKUP(raw_data_23[[#This Row],[Location]],Table2[Shop name],Table2[Category],"OCCATIONAL",0,1)</f>
        <v>TRAVEL</v>
      </c>
    </row>
    <row r="200" spans="1:6" x14ac:dyDescent="0.2">
      <c r="A200" s="7">
        <v>45861</v>
      </c>
      <c r="B200" s="2" t="str">
        <f t="shared" si="3"/>
        <v>July</v>
      </c>
      <c r="C200" s="2" t="s">
        <v>89</v>
      </c>
      <c r="D200" s="2" t="s">
        <v>19</v>
      </c>
      <c r="E200">
        <v>10.95</v>
      </c>
      <c r="F200" s="12" t="str">
        <f>_xlfn.XLOOKUP(raw_data_23[[#This Row],[Location]],Table2[Shop name],Table2[Category],"OCCATIONAL",0,1)</f>
        <v>OCCATIONAL</v>
      </c>
    </row>
    <row r="201" spans="1:6" x14ac:dyDescent="0.2">
      <c r="A201" s="7">
        <v>45861</v>
      </c>
      <c r="B201" s="2" t="str">
        <f t="shared" si="3"/>
        <v>July</v>
      </c>
      <c r="C201" s="2" t="s">
        <v>37</v>
      </c>
      <c r="D201" s="2" t="s">
        <v>19</v>
      </c>
      <c r="E201">
        <v>250.89</v>
      </c>
      <c r="F201" s="12" t="str">
        <f>_xlfn.XLOOKUP(raw_data_23[[#This Row],[Location]],Table2[Shop name],Table2[Category],"OCCATIONAL",0,1)</f>
        <v>GROCERIES</v>
      </c>
    </row>
    <row r="202" spans="1:6" x14ac:dyDescent="0.2">
      <c r="A202" s="7">
        <v>45861</v>
      </c>
      <c r="B202" s="2" t="str">
        <f t="shared" si="3"/>
        <v>July</v>
      </c>
      <c r="C202" s="2" t="s">
        <v>64</v>
      </c>
      <c r="D202" s="2" t="s">
        <v>19</v>
      </c>
      <c r="E202">
        <v>37</v>
      </c>
      <c r="F202" s="12" t="str">
        <f>_xlfn.XLOOKUP(raw_data_23[[#This Row],[Location]],Table2[Shop name],Table2[Category],"OCCATIONAL",0,1)</f>
        <v>FOOD</v>
      </c>
    </row>
    <row r="203" spans="1:6" x14ac:dyDescent="0.2">
      <c r="A203" s="7">
        <v>45861</v>
      </c>
      <c r="B203" s="2" t="str">
        <f t="shared" si="3"/>
        <v>July</v>
      </c>
      <c r="C203" s="2" t="s">
        <v>38</v>
      </c>
      <c r="D203" s="2" t="s">
        <v>19</v>
      </c>
      <c r="E203">
        <v>1.6</v>
      </c>
      <c r="F203" s="12" t="str">
        <f>_xlfn.XLOOKUP(raw_data_23[[#This Row],[Location]],Table2[Shop name],Table2[Category],"OCCATIONAL",0,1)</f>
        <v>GROCERIES</v>
      </c>
    </row>
    <row r="204" spans="1:6" x14ac:dyDescent="0.2">
      <c r="A204" s="7">
        <v>45862</v>
      </c>
      <c r="B204" s="2" t="str">
        <f t="shared" si="3"/>
        <v>July</v>
      </c>
      <c r="C204" s="2" t="s">
        <v>51</v>
      </c>
      <c r="D204" s="2" t="s">
        <v>19</v>
      </c>
      <c r="E204">
        <v>64.84</v>
      </c>
      <c r="F204" s="12" t="str">
        <f>_xlfn.XLOOKUP(raw_data_23[[#This Row],[Location]],Table2[Shop name],Table2[Category],"OCCATIONAL",0,1)</f>
        <v>GROCERIES</v>
      </c>
    </row>
    <row r="205" spans="1:6" x14ac:dyDescent="0.2">
      <c r="A205" s="7">
        <v>45862</v>
      </c>
      <c r="B205" s="2" t="str">
        <f t="shared" si="3"/>
        <v>July</v>
      </c>
      <c r="C205" s="2" t="s">
        <v>20</v>
      </c>
      <c r="D205" s="2" t="s">
        <v>19</v>
      </c>
      <c r="E205">
        <v>102.86</v>
      </c>
      <c r="F205" s="12" t="str">
        <f>_xlfn.XLOOKUP(raw_data_23[[#This Row],[Location]],Table2[Shop name],Table2[Category],"OCCATIONAL",0,1)</f>
        <v>ONLINE ORDERS</v>
      </c>
    </row>
    <row r="206" spans="1:6" x14ac:dyDescent="0.2">
      <c r="A206" s="7">
        <v>45863</v>
      </c>
      <c r="B206" s="2" t="str">
        <f t="shared" si="3"/>
        <v>July</v>
      </c>
      <c r="C206" s="2" t="s">
        <v>150</v>
      </c>
      <c r="D206" s="2" t="s">
        <v>19</v>
      </c>
      <c r="E206">
        <v>6.99</v>
      </c>
      <c r="F206" s="12" t="str">
        <f>_xlfn.XLOOKUP(raw_data_23[[#This Row],[Location]],Table2[Shop name],Table2[Category],"OCCATIONAL",0,1)</f>
        <v>OCCATIONAL</v>
      </c>
    </row>
    <row r="207" spans="1:6" x14ac:dyDescent="0.2">
      <c r="A207" s="7">
        <v>45864</v>
      </c>
      <c r="B207" s="2" t="str">
        <f t="shared" si="3"/>
        <v>July</v>
      </c>
      <c r="C207" s="2" t="s">
        <v>90</v>
      </c>
      <c r="D207" s="2" t="s">
        <v>19</v>
      </c>
      <c r="E207">
        <v>25.25</v>
      </c>
      <c r="F207" s="12" t="str">
        <f>_xlfn.XLOOKUP(raw_data_23[[#This Row],[Location]],Table2[Shop name],Table2[Category],"OCCATIONAL",0,1)</f>
        <v>COFFEE SHOP</v>
      </c>
    </row>
    <row r="208" spans="1:6" x14ac:dyDescent="0.2">
      <c r="A208" s="7">
        <v>45864</v>
      </c>
      <c r="B208" s="2" t="str">
        <f t="shared" si="3"/>
        <v>July</v>
      </c>
      <c r="C208" s="2" t="s">
        <v>50</v>
      </c>
      <c r="D208" s="2" t="s">
        <v>19</v>
      </c>
      <c r="E208">
        <v>7.5</v>
      </c>
      <c r="F208" s="12" t="str">
        <f>_xlfn.XLOOKUP(raw_data_23[[#This Row],[Location]],Table2[Shop name],Table2[Category],"OCCATIONAL",0,1)</f>
        <v>COFFEE SHOP</v>
      </c>
    </row>
    <row r="209" spans="1:6" x14ac:dyDescent="0.2">
      <c r="A209" s="7">
        <v>45864</v>
      </c>
      <c r="B209" s="2" t="str">
        <f t="shared" si="3"/>
        <v>July</v>
      </c>
      <c r="C209" s="2" t="s">
        <v>146</v>
      </c>
      <c r="D209" s="2" t="s">
        <v>19</v>
      </c>
      <c r="E209">
        <v>110.07</v>
      </c>
      <c r="F209" s="12" t="str">
        <f>_xlfn.XLOOKUP(raw_data_23[[#This Row],[Location]],Table2[Shop name],Table2[Category],"OCCATIONAL",0,1)</f>
        <v>GROCERIES</v>
      </c>
    </row>
    <row r="210" spans="1:6" x14ac:dyDescent="0.2">
      <c r="A210" s="7">
        <v>45864</v>
      </c>
      <c r="B210" s="2" t="str">
        <f t="shared" si="3"/>
        <v>July</v>
      </c>
      <c r="C210" s="2" t="s">
        <v>21</v>
      </c>
      <c r="D210" s="2" t="s">
        <v>19</v>
      </c>
      <c r="E210">
        <v>30</v>
      </c>
      <c r="F210" s="12" t="str">
        <f>_xlfn.XLOOKUP(raw_data_23[[#This Row],[Location]],Table2[Shop name],Table2[Category],"OCCATIONAL",0,1)</f>
        <v>TRAVEL</v>
      </c>
    </row>
    <row r="211" spans="1:6" x14ac:dyDescent="0.2">
      <c r="A211" s="7">
        <v>45864</v>
      </c>
      <c r="B211" s="2" t="str">
        <f t="shared" si="3"/>
        <v>July</v>
      </c>
      <c r="C211" s="2" t="s">
        <v>91</v>
      </c>
      <c r="D211" s="2" t="s">
        <v>19</v>
      </c>
      <c r="E211">
        <v>49.99</v>
      </c>
      <c r="F211" s="12" t="str">
        <f>_xlfn.XLOOKUP(raw_data_23[[#This Row],[Location]],Table2[Shop name],Table2[Category],"OCCATIONAL",0,1)</f>
        <v>CLOTHING</v>
      </c>
    </row>
    <row r="212" spans="1:6" x14ac:dyDescent="0.2">
      <c r="A212" s="7">
        <v>45864</v>
      </c>
      <c r="B212" s="2" t="str">
        <f t="shared" si="3"/>
        <v>July</v>
      </c>
      <c r="C212" s="2" t="s">
        <v>78</v>
      </c>
      <c r="D212" s="2" t="s">
        <v>19</v>
      </c>
      <c r="E212">
        <v>25.99</v>
      </c>
      <c r="F212" s="12" t="str">
        <f>_xlfn.XLOOKUP(raw_data_23[[#This Row],[Location]],Table2[Shop name],Table2[Category],"OCCATIONAL",0,1)</f>
        <v>CLOTHING</v>
      </c>
    </row>
    <row r="213" spans="1:6" x14ac:dyDescent="0.2">
      <c r="A213" s="7">
        <v>45864</v>
      </c>
      <c r="B213" s="2" t="str">
        <f t="shared" si="3"/>
        <v>July</v>
      </c>
      <c r="C213" s="2" t="s">
        <v>37</v>
      </c>
      <c r="D213" s="2" t="s">
        <v>19</v>
      </c>
      <c r="E213">
        <v>226.62</v>
      </c>
      <c r="F213" s="12" t="str">
        <f>_xlfn.XLOOKUP(raw_data_23[[#This Row],[Location]],Table2[Shop name],Table2[Category],"OCCATIONAL",0,1)</f>
        <v>GROCERIES</v>
      </c>
    </row>
    <row r="214" spans="1:6" x14ac:dyDescent="0.2">
      <c r="A214" s="7">
        <v>45864</v>
      </c>
      <c r="B214" s="2" t="str">
        <f t="shared" si="3"/>
        <v>July</v>
      </c>
      <c r="C214" s="2" t="s">
        <v>92</v>
      </c>
      <c r="D214" s="2" t="s">
        <v>19</v>
      </c>
      <c r="E214">
        <v>75.95</v>
      </c>
      <c r="F214" s="12" t="str">
        <f>_xlfn.XLOOKUP(raw_data_23[[#This Row],[Location]],Table2[Shop name],Table2[Category],"OCCATIONAL",0,1)</f>
        <v>HOME NEEDS</v>
      </c>
    </row>
    <row r="215" spans="1:6" x14ac:dyDescent="0.2">
      <c r="A215" s="7">
        <v>45864</v>
      </c>
      <c r="B215" s="2" t="str">
        <f t="shared" si="3"/>
        <v>July</v>
      </c>
      <c r="C215" s="2" t="s">
        <v>92</v>
      </c>
      <c r="D215" s="2" t="s">
        <v>19</v>
      </c>
      <c r="E215">
        <v>47</v>
      </c>
      <c r="F215" s="12" t="str">
        <f>_xlfn.XLOOKUP(raw_data_23[[#This Row],[Location]],Table2[Shop name],Table2[Category],"OCCATIONAL",0,1)</f>
        <v>HOME NEEDS</v>
      </c>
    </row>
    <row r="216" spans="1:6" x14ac:dyDescent="0.2">
      <c r="A216" s="7">
        <v>45864</v>
      </c>
      <c r="B216" s="2" t="str">
        <f t="shared" si="3"/>
        <v>July</v>
      </c>
      <c r="C216" s="2" t="s">
        <v>92</v>
      </c>
      <c r="D216" s="2" t="s">
        <v>19</v>
      </c>
      <c r="E216">
        <v>89</v>
      </c>
      <c r="F216" s="12" t="str">
        <f>_xlfn.XLOOKUP(raw_data_23[[#This Row],[Location]],Table2[Shop name],Table2[Category],"OCCATIONAL",0,1)</f>
        <v>HOME NEEDS</v>
      </c>
    </row>
    <row r="217" spans="1:6" x14ac:dyDescent="0.2">
      <c r="A217" s="7">
        <v>45864</v>
      </c>
      <c r="B217" s="2" t="str">
        <f t="shared" si="3"/>
        <v>July</v>
      </c>
      <c r="C217" s="2" t="s">
        <v>38</v>
      </c>
      <c r="D217" s="2" t="s">
        <v>19</v>
      </c>
      <c r="E217">
        <v>15.39</v>
      </c>
      <c r="F217" s="12" t="str">
        <f>_xlfn.XLOOKUP(raw_data_23[[#This Row],[Location]],Table2[Shop name],Table2[Category],"OCCATIONAL",0,1)</f>
        <v>GROCERIES</v>
      </c>
    </row>
    <row r="218" spans="1:6" x14ac:dyDescent="0.2">
      <c r="A218" s="7">
        <v>45866</v>
      </c>
      <c r="B218" s="2" t="str">
        <f t="shared" si="3"/>
        <v>July</v>
      </c>
      <c r="C218" s="2" t="s">
        <v>6</v>
      </c>
      <c r="D218" s="2" t="s">
        <v>33</v>
      </c>
      <c r="E218">
        <v>37</v>
      </c>
      <c r="F218" s="12" t="str">
        <f>_xlfn.XLOOKUP(raw_data_23[[#This Row],[Location]],Table2[Shop name],Table2[Category],"OCCATIONAL",0,1)</f>
        <v>TRAVEL</v>
      </c>
    </row>
    <row r="219" spans="1:6" x14ac:dyDescent="0.2">
      <c r="A219" s="7">
        <v>45866</v>
      </c>
      <c r="B219" s="2" t="str">
        <f t="shared" si="3"/>
        <v>July</v>
      </c>
      <c r="C219" s="2" t="s">
        <v>93</v>
      </c>
      <c r="D219" s="2" t="s">
        <v>19</v>
      </c>
      <c r="E219">
        <v>24</v>
      </c>
      <c r="F219" s="12" t="str">
        <f>_xlfn.XLOOKUP(raw_data_23[[#This Row],[Location]],Table2[Shop name],Table2[Category],"OCCATIONAL",0,1)</f>
        <v>OCCATIONAL</v>
      </c>
    </row>
    <row r="220" spans="1:6" x14ac:dyDescent="0.2">
      <c r="A220" s="7">
        <v>45866</v>
      </c>
      <c r="B220" s="2" t="str">
        <f t="shared" si="3"/>
        <v>July</v>
      </c>
      <c r="C220" s="2" t="s">
        <v>146</v>
      </c>
      <c r="D220" s="2" t="s">
        <v>19</v>
      </c>
      <c r="E220">
        <v>25.56</v>
      </c>
      <c r="F220" s="12" t="str">
        <f>_xlfn.XLOOKUP(raw_data_23[[#This Row],[Location]],Table2[Shop name],Table2[Category],"OCCATIONAL",0,1)</f>
        <v>GROCERIES</v>
      </c>
    </row>
    <row r="221" spans="1:6" x14ac:dyDescent="0.2">
      <c r="A221" s="7">
        <v>45866</v>
      </c>
      <c r="B221" s="2" t="str">
        <f t="shared" si="3"/>
        <v>July</v>
      </c>
      <c r="C221" s="2" t="s">
        <v>21</v>
      </c>
      <c r="D221" s="2" t="s">
        <v>19</v>
      </c>
      <c r="E221">
        <v>20</v>
      </c>
      <c r="F221" s="12" t="str">
        <f>_xlfn.XLOOKUP(raw_data_23[[#This Row],[Location]],Table2[Shop name],Table2[Category],"OCCATIONAL",0,1)</f>
        <v>TRAVEL</v>
      </c>
    </row>
    <row r="222" spans="1:6" x14ac:dyDescent="0.2">
      <c r="A222" s="7">
        <v>45866</v>
      </c>
      <c r="B222" s="2" t="str">
        <f t="shared" si="3"/>
        <v>July</v>
      </c>
      <c r="C222" s="2" t="s">
        <v>28</v>
      </c>
      <c r="D222" s="2" t="s">
        <v>19</v>
      </c>
      <c r="E222">
        <v>206.8</v>
      </c>
      <c r="F222" s="12" t="str">
        <f>_xlfn.XLOOKUP(raw_data_23[[#This Row],[Location]],Table2[Shop name],Table2[Category],"OCCATIONAL",0,1)</f>
        <v>TRAVEL</v>
      </c>
    </row>
    <row r="223" spans="1:6" x14ac:dyDescent="0.2">
      <c r="A223" s="7">
        <v>45866</v>
      </c>
      <c r="B223" s="2" t="str">
        <f t="shared" si="3"/>
        <v>July</v>
      </c>
      <c r="C223" s="2" t="s">
        <v>28</v>
      </c>
      <c r="D223" s="2" t="s">
        <v>19</v>
      </c>
      <c r="E223">
        <v>146</v>
      </c>
      <c r="F223" s="12" t="str">
        <f>_xlfn.XLOOKUP(raw_data_23[[#This Row],[Location]],Table2[Shop name],Table2[Category],"OCCATIONAL",0,1)</f>
        <v>TRAVEL</v>
      </c>
    </row>
    <row r="224" spans="1:6" x14ac:dyDescent="0.2">
      <c r="A224" s="7">
        <v>45866</v>
      </c>
      <c r="B224" s="2" t="str">
        <f t="shared" si="3"/>
        <v>July</v>
      </c>
      <c r="C224" s="2" t="s">
        <v>160</v>
      </c>
      <c r="D224" s="2" t="s">
        <v>19</v>
      </c>
      <c r="E224">
        <v>7.19</v>
      </c>
      <c r="F224" s="12" t="str">
        <f>_xlfn.XLOOKUP(raw_data_23[[#This Row],[Location]],Table2[Shop name],Table2[Category],"OCCATIONAL",0,1)</f>
        <v>COFFEE SHOP</v>
      </c>
    </row>
    <row r="225" spans="1:6" x14ac:dyDescent="0.2">
      <c r="A225" s="7">
        <v>45866</v>
      </c>
      <c r="B225" s="2" t="str">
        <f t="shared" si="3"/>
        <v>July</v>
      </c>
      <c r="C225" s="2" t="s">
        <v>89</v>
      </c>
      <c r="D225" s="2" t="s">
        <v>19</v>
      </c>
      <c r="E225">
        <v>15.95</v>
      </c>
      <c r="F225" s="12" t="str">
        <f>_xlfn.XLOOKUP(raw_data_23[[#This Row],[Location]],Table2[Shop name],Table2[Category],"OCCATIONAL",0,1)</f>
        <v>OCCATIONAL</v>
      </c>
    </row>
    <row r="226" spans="1:6" x14ac:dyDescent="0.2">
      <c r="A226" s="7">
        <v>45866</v>
      </c>
      <c r="B226" s="2" t="str">
        <f t="shared" si="3"/>
        <v>July</v>
      </c>
      <c r="C226" s="2" t="s">
        <v>37</v>
      </c>
      <c r="D226" s="2" t="s">
        <v>19</v>
      </c>
      <c r="E226">
        <v>58.24</v>
      </c>
      <c r="F226" s="12" t="str">
        <f>_xlfn.XLOOKUP(raw_data_23[[#This Row],[Location]],Table2[Shop name],Table2[Category],"OCCATIONAL",0,1)</f>
        <v>GROCERIES</v>
      </c>
    </row>
    <row r="227" spans="1:6" x14ac:dyDescent="0.2">
      <c r="A227" s="7">
        <v>45867</v>
      </c>
      <c r="B227" s="2" t="str">
        <f t="shared" si="3"/>
        <v>July</v>
      </c>
      <c r="C227" s="2" t="s">
        <v>146</v>
      </c>
      <c r="D227" s="2" t="s">
        <v>19</v>
      </c>
      <c r="E227">
        <v>19.59</v>
      </c>
      <c r="F227" s="12" t="str">
        <f>_xlfn.XLOOKUP(raw_data_23[[#This Row],[Location]],Table2[Shop name],Table2[Category],"OCCATIONAL",0,1)</f>
        <v>GROCERIES</v>
      </c>
    </row>
    <row r="228" spans="1:6" x14ac:dyDescent="0.2">
      <c r="A228" s="7">
        <v>45867</v>
      </c>
      <c r="B228" s="2" t="str">
        <f t="shared" si="3"/>
        <v>July</v>
      </c>
      <c r="C228" s="2" t="s">
        <v>150</v>
      </c>
      <c r="D228" s="2" t="s">
        <v>19</v>
      </c>
      <c r="E228">
        <v>6.99</v>
      </c>
      <c r="F228" s="12" t="str">
        <f>_xlfn.XLOOKUP(raw_data_23[[#This Row],[Location]],Table2[Shop name],Table2[Category],"OCCATIONAL",0,1)</f>
        <v>OCCATIONAL</v>
      </c>
    </row>
    <row r="229" spans="1:6" x14ac:dyDescent="0.2">
      <c r="A229" s="7">
        <v>45868</v>
      </c>
      <c r="B229" s="2" t="str">
        <f t="shared" si="3"/>
        <v>July</v>
      </c>
      <c r="C229" s="2" t="s">
        <v>74</v>
      </c>
      <c r="D229" s="2" t="s">
        <v>19</v>
      </c>
      <c r="E229">
        <v>89.99</v>
      </c>
      <c r="F229" s="12" t="str">
        <f>_xlfn.XLOOKUP(raw_data_23[[#This Row],[Location]],Table2[Shop name],Table2[Category],"OCCATIONAL",0,1)</f>
        <v>CLOTHING</v>
      </c>
    </row>
    <row r="230" spans="1:6" x14ac:dyDescent="0.2">
      <c r="A230" s="7">
        <v>45868</v>
      </c>
      <c r="B230" s="2" t="str">
        <f t="shared" si="3"/>
        <v>July</v>
      </c>
      <c r="C230" s="2" t="s">
        <v>37</v>
      </c>
      <c r="D230" s="2" t="s">
        <v>19</v>
      </c>
      <c r="E230">
        <v>178.51</v>
      </c>
      <c r="F230" s="12" t="str">
        <f>_xlfn.XLOOKUP(raw_data_23[[#This Row],[Location]],Table2[Shop name],Table2[Category],"OCCATIONAL",0,1)</f>
        <v>GROCERIES</v>
      </c>
    </row>
    <row r="231" spans="1:6" x14ac:dyDescent="0.2">
      <c r="A231" s="7">
        <v>45871</v>
      </c>
      <c r="B231" s="2" t="str">
        <f t="shared" si="3"/>
        <v>August</v>
      </c>
      <c r="C231" s="2" t="s">
        <v>74</v>
      </c>
      <c r="D231" s="2" t="s">
        <v>19</v>
      </c>
      <c r="E231">
        <v>35</v>
      </c>
      <c r="F231" s="12" t="str">
        <f>_xlfn.XLOOKUP(raw_data_23[[#This Row],[Location]],Table2[Shop name],Table2[Category],"OCCATIONAL",0,1)</f>
        <v>CLOTHING</v>
      </c>
    </row>
    <row r="232" spans="1:6" x14ac:dyDescent="0.2">
      <c r="A232" s="7">
        <v>45871</v>
      </c>
      <c r="B232" s="2" t="str">
        <f t="shared" si="3"/>
        <v>August</v>
      </c>
      <c r="C232" s="2" t="s">
        <v>34</v>
      </c>
      <c r="D232" s="2" t="s">
        <v>4</v>
      </c>
      <c r="E232">
        <v>34.4</v>
      </c>
      <c r="F232" s="12" t="str">
        <f>_xlfn.XLOOKUP(raw_data_23[[#This Row],[Location]],Table2[Shop name],Table2[Category],"OCCATIONAL",0,1)</f>
        <v>TRAVEL</v>
      </c>
    </row>
    <row r="233" spans="1:6" x14ac:dyDescent="0.2">
      <c r="A233" s="7">
        <v>45875</v>
      </c>
      <c r="B233" s="2" t="str">
        <f t="shared" si="3"/>
        <v>August</v>
      </c>
      <c r="C233" s="2" t="s">
        <v>56</v>
      </c>
      <c r="D233" s="2" t="s">
        <v>19</v>
      </c>
      <c r="E233">
        <v>53.35</v>
      </c>
      <c r="F233" s="12" t="str">
        <f>_xlfn.XLOOKUP(raw_data_23[[#This Row],[Location]],Table2[Shop name],Table2[Category],"OCCATIONAL",0,1)</f>
        <v>HOME NEEDS</v>
      </c>
    </row>
    <row r="234" spans="1:6" x14ac:dyDescent="0.2">
      <c r="A234" s="7">
        <v>45876</v>
      </c>
      <c r="B234" s="2" t="str">
        <f t="shared" si="3"/>
        <v>August</v>
      </c>
      <c r="C234" s="2" t="s">
        <v>37</v>
      </c>
      <c r="D234" s="2" t="s">
        <v>19</v>
      </c>
      <c r="E234">
        <v>58.91</v>
      </c>
      <c r="F234" s="12" t="str">
        <f>_xlfn.XLOOKUP(raw_data_23[[#This Row],[Location]],Table2[Shop name],Table2[Category],"OCCATIONAL",0,1)</f>
        <v>GROCERIES</v>
      </c>
    </row>
    <row r="235" spans="1:6" x14ac:dyDescent="0.2">
      <c r="A235" s="7">
        <v>45877</v>
      </c>
      <c r="B235" s="2" t="str">
        <f t="shared" si="3"/>
        <v>August</v>
      </c>
      <c r="C235" s="2" t="s">
        <v>7</v>
      </c>
      <c r="D235" s="2" t="s">
        <v>19</v>
      </c>
      <c r="E235">
        <v>12</v>
      </c>
      <c r="F235" s="12" t="str">
        <f>_xlfn.XLOOKUP(raw_data_23[[#This Row],[Location]],Table2[Shop name],Table2[Category],"OCCATIONAL",0,1)</f>
        <v>OCCATIONAL</v>
      </c>
    </row>
    <row r="236" spans="1:6" x14ac:dyDescent="0.2">
      <c r="A236" s="7">
        <v>45879</v>
      </c>
      <c r="B236" s="2" t="str">
        <f t="shared" si="3"/>
        <v>August</v>
      </c>
      <c r="C236" s="2" t="s">
        <v>94</v>
      </c>
      <c r="D236" s="2" t="s">
        <v>19</v>
      </c>
      <c r="E236">
        <v>8.8000000000000007</v>
      </c>
      <c r="F236" s="12" t="str">
        <f>_xlfn.XLOOKUP(raw_data_23[[#This Row],[Location]],Table2[Shop name],Table2[Category],"OCCATIONAL",0,1)</f>
        <v>TRAVEL</v>
      </c>
    </row>
    <row r="237" spans="1:6" x14ac:dyDescent="0.2">
      <c r="A237" s="7">
        <v>45879</v>
      </c>
      <c r="B237" s="2" t="str">
        <f t="shared" si="3"/>
        <v>August</v>
      </c>
      <c r="C237" s="2" t="s">
        <v>21</v>
      </c>
      <c r="D237" s="2" t="s">
        <v>19</v>
      </c>
      <c r="E237">
        <v>20</v>
      </c>
      <c r="F237" s="12" t="str">
        <f>_xlfn.XLOOKUP(raw_data_23[[#This Row],[Location]],Table2[Shop name],Table2[Category],"OCCATIONAL",0,1)</f>
        <v>TRAVEL</v>
      </c>
    </row>
    <row r="238" spans="1:6" x14ac:dyDescent="0.2">
      <c r="A238" s="7">
        <v>45879</v>
      </c>
      <c r="B238" s="2" t="str">
        <f t="shared" si="3"/>
        <v>August</v>
      </c>
      <c r="C238" s="2" t="s">
        <v>21</v>
      </c>
      <c r="D238" s="2" t="s">
        <v>19</v>
      </c>
      <c r="E238">
        <v>20</v>
      </c>
      <c r="F238" s="12" t="str">
        <f>_xlfn.XLOOKUP(raw_data_23[[#This Row],[Location]],Table2[Shop name],Table2[Category],"OCCATIONAL",0,1)</f>
        <v>TRAVEL</v>
      </c>
    </row>
    <row r="239" spans="1:6" x14ac:dyDescent="0.2">
      <c r="A239" s="7">
        <v>45879</v>
      </c>
      <c r="B239" s="2" t="str">
        <f t="shared" si="3"/>
        <v>August</v>
      </c>
      <c r="C239" s="2" t="s">
        <v>95</v>
      </c>
      <c r="D239" s="2" t="s">
        <v>19</v>
      </c>
      <c r="E239">
        <v>120</v>
      </c>
      <c r="F239" s="12" t="str">
        <f>_xlfn.XLOOKUP(raw_data_23[[#This Row],[Location]],Table2[Shop name],Table2[Category],"OCCATIONAL",0,1)</f>
        <v>HOME NEEDS</v>
      </c>
    </row>
    <row r="240" spans="1:6" x14ac:dyDescent="0.2">
      <c r="A240" s="7">
        <v>45879</v>
      </c>
      <c r="B240" s="2" t="str">
        <f t="shared" si="3"/>
        <v>August</v>
      </c>
      <c r="C240" s="2" t="s">
        <v>95</v>
      </c>
      <c r="D240" s="2" t="s">
        <v>19</v>
      </c>
      <c r="E240">
        <v>80</v>
      </c>
      <c r="F240" s="12" t="str">
        <f>_xlfn.XLOOKUP(raw_data_23[[#This Row],[Location]],Table2[Shop name],Table2[Category],"OCCATIONAL",0,1)</f>
        <v>HOME NEEDS</v>
      </c>
    </row>
    <row r="241" spans="1:6" x14ac:dyDescent="0.2">
      <c r="A241" s="7">
        <v>45879</v>
      </c>
      <c r="B241" s="2" t="str">
        <f t="shared" si="3"/>
        <v>August</v>
      </c>
      <c r="C241" s="2" t="s">
        <v>37</v>
      </c>
      <c r="D241" s="2" t="s">
        <v>19</v>
      </c>
      <c r="E241">
        <v>24.06</v>
      </c>
      <c r="F241" s="12" t="str">
        <f>_xlfn.XLOOKUP(raw_data_23[[#This Row],[Location]],Table2[Shop name],Table2[Category],"OCCATIONAL",0,1)</f>
        <v>GROCERIES</v>
      </c>
    </row>
    <row r="242" spans="1:6" x14ac:dyDescent="0.2">
      <c r="A242" s="7">
        <v>45879</v>
      </c>
      <c r="B242" s="2" t="str">
        <f t="shared" si="3"/>
        <v>August</v>
      </c>
      <c r="C242" s="2" t="s">
        <v>37</v>
      </c>
      <c r="D242" s="2" t="s">
        <v>19</v>
      </c>
      <c r="E242">
        <v>5.28</v>
      </c>
      <c r="F242" s="12" t="str">
        <f>_xlfn.XLOOKUP(raw_data_23[[#This Row],[Location]],Table2[Shop name],Table2[Category],"OCCATIONAL",0,1)</f>
        <v>GROCERIES</v>
      </c>
    </row>
    <row r="243" spans="1:6" x14ac:dyDescent="0.2">
      <c r="A243" s="7">
        <v>45879</v>
      </c>
      <c r="B243" s="2" t="str">
        <f t="shared" si="3"/>
        <v>August</v>
      </c>
      <c r="C243" s="2" t="s">
        <v>96</v>
      </c>
      <c r="D243" s="2" t="s">
        <v>19</v>
      </c>
      <c r="E243">
        <v>72</v>
      </c>
      <c r="F243" s="12" t="str">
        <f>_xlfn.XLOOKUP(raw_data_23[[#This Row],[Location]],Table2[Shop name],Table2[Category],"OCCATIONAL",0,1)</f>
        <v>FOOD</v>
      </c>
    </row>
    <row r="244" spans="1:6" x14ac:dyDescent="0.2">
      <c r="A244" s="7">
        <v>45880</v>
      </c>
      <c r="B244" s="2" t="str">
        <f t="shared" si="3"/>
        <v>August</v>
      </c>
      <c r="C244" s="2" t="s">
        <v>97</v>
      </c>
      <c r="D244" s="2" t="s">
        <v>19</v>
      </c>
      <c r="E244">
        <v>92</v>
      </c>
      <c r="F244" s="12" t="str">
        <f>_xlfn.XLOOKUP(raw_data_23[[#This Row],[Location]],Table2[Shop name],Table2[Category],"OCCATIONAL",0,1)</f>
        <v>HOME NEEDS</v>
      </c>
    </row>
    <row r="245" spans="1:6" x14ac:dyDescent="0.2">
      <c r="A245" s="7">
        <v>45880</v>
      </c>
      <c r="B245" s="2" t="str">
        <f t="shared" si="3"/>
        <v>August</v>
      </c>
      <c r="C245" s="2" t="s">
        <v>97</v>
      </c>
      <c r="D245" s="2" t="s">
        <v>19</v>
      </c>
      <c r="E245">
        <v>85</v>
      </c>
      <c r="F245" s="12" t="str">
        <f>_xlfn.XLOOKUP(raw_data_23[[#This Row],[Location]],Table2[Shop name],Table2[Category],"OCCATIONAL",0,1)</f>
        <v>HOME NEEDS</v>
      </c>
    </row>
    <row r="246" spans="1:6" x14ac:dyDescent="0.2">
      <c r="A246" s="7">
        <v>45880</v>
      </c>
      <c r="B246" s="2" t="str">
        <f t="shared" si="3"/>
        <v>August</v>
      </c>
      <c r="C246" s="2" t="s">
        <v>62</v>
      </c>
      <c r="D246" s="2" t="s">
        <v>19</v>
      </c>
      <c r="E246">
        <v>112</v>
      </c>
      <c r="F246" s="12" t="str">
        <f>_xlfn.XLOOKUP(raw_data_23[[#This Row],[Location]],Table2[Shop name],Table2[Category],"OCCATIONAL",0,1)</f>
        <v>HOME NEEDS</v>
      </c>
    </row>
    <row r="247" spans="1:6" x14ac:dyDescent="0.2">
      <c r="A247" s="7">
        <v>45880</v>
      </c>
      <c r="B247" s="2" t="str">
        <f t="shared" si="3"/>
        <v>August</v>
      </c>
      <c r="C247" s="2" t="s">
        <v>98</v>
      </c>
      <c r="D247" s="2" t="s">
        <v>19</v>
      </c>
      <c r="E247">
        <v>3.22</v>
      </c>
      <c r="F247" s="12" t="str">
        <f>_xlfn.XLOOKUP(raw_data_23[[#This Row],[Location]],Table2[Shop name],Table2[Category],"OCCATIONAL",0,1)</f>
        <v>TRAVEL</v>
      </c>
    </row>
    <row r="248" spans="1:6" x14ac:dyDescent="0.2">
      <c r="A248" s="7">
        <v>45880</v>
      </c>
      <c r="B248" s="2" t="str">
        <f t="shared" si="3"/>
        <v>August</v>
      </c>
      <c r="C248" s="2" t="s">
        <v>74</v>
      </c>
      <c r="D248" s="2" t="s">
        <v>19</v>
      </c>
      <c r="E248">
        <v>106.99</v>
      </c>
      <c r="F248" s="12" t="str">
        <f>_xlfn.XLOOKUP(raw_data_23[[#This Row],[Location]],Table2[Shop name],Table2[Category],"OCCATIONAL",0,1)</f>
        <v>CLOTHING</v>
      </c>
    </row>
    <row r="249" spans="1:6" x14ac:dyDescent="0.2">
      <c r="A249" s="7">
        <v>45880</v>
      </c>
      <c r="B249" s="2" t="str">
        <f t="shared" si="3"/>
        <v>August</v>
      </c>
      <c r="C249" s="2" t="s">
        <v>34</v>
      </c>
      <c r="D249" s="2" t="s">
        <v>4</v>
      </c>
      <c r="E249">
        <v>25.2</v>
      </c>
      <c r="F249" s="12" t="str">
        <f>_xlfn.XLOOKUP(raw_data_23[[#This Row],[Location]],Table2[Shop name],Table2[Category],"OCCATIONAL",0,1)</f>
        <v>TRAVEL</v>
      </c>
    </row>
    <row r="250" spans="1:6" x14ac:dyDescent="0.2">
      <c r="A250" s="7">
        <v>45880</v>
      </c>
      <c r="B250" s="2" t="str">
        <f t="shared" si="3"/>
        <v>August</v>
      </c>
      <c r="C250" s="2" t="s">
        <v>99</v>
      </c>
      <c r="D250" s="2" t="s">
        <v>19</v>
      </c>
      <c r="E250">
        <v>475.98</v>
      </c>
      <c r="F250" s="12" t="str">
        <f>_xlfn.XLOOKUP(raw_data_23[[#This Row],[Location]],Table2[Shop name],Table2[Category],"OCCATIONAL",0,1)</f>
        <v>CLOTHING</v>
      </c>
    </row>
    <row r="251" spans="1:6" x14ac:dyDescent="0.2">
      <c r="A251" s="7">
        <v>45880</v>
      </c>
      <c r="B251" s="2" t="str">
        <f t="shared" si="3"/>
        <v>August</v>
      </c>
      <c r="C251" s="2" t="s">
        <v>78</v>
      </c>
      <c r="D251" s="2" t="s">
        <v>19</v>
      </c>
      <c r="E251">
        <v>39.99</v>
      </c>
      <c r="F251" s="12" t="str">
        <f>_xlfn.XLOOKUP(raw_data_23[[#This Row],[Location]],Table2[Shop name],Table2[Category],"OCCATIONAL",0,1)</f>
        <v>CLOTHING</v>
      </c>
    </row>
    <row r="252" spans="1:6" x14ac:dyDescent="0.2">
      <c r="A252" s="7">
        <v>45880</v>
      </c>
      <c r="B252" s="2" t="str">
        <f t="shared" si="3"/>
        <v>August</v>
      </c>
      <c r="C252" s="2" t="s">
        <v>78</v>
      </c>
      <c r="D252" s="2" t="s">
        <v>19</v>
      </c>
      <c r="E252">
        <v>78.98</v>
      </c>
      <c r="F252" s="12" t="str">
        <f>_xlfn.XLOOKUP(raw_data_23[[#This Row],[Location]],Table2[Shop name],Table2[Category],"OCCATIONAL",0,1)</f>
        <v>CLOTHING</v>
      </c>
    </row>
    <row r="253" spans="1:6" x14ac:dyDescent="0.2">
      <c r="A253" s="7">
        <v>45880</v>
      </c>
      <c r="B253" s="2" t="str">
        <f t="shared" si="3"/>
        <v>August</v>
      </c>
      <c r="C253" s="2" t="s">
        <v>37</v>
      </c>
      <c r="D253" s="2" t="s">
        <v>19</v>
      </c>
      <c r="E253">
        <v>6.28</v>
      </c>
      <c r="F253" s="12" t="str">
        <f>_xlfn.XLOOKUP(raw_data_23[[#This Row],[Location]],Table2[Shop name],Table2[Category],"OCCATIONAL",0,1)</f>
        <v>GROCERIES</v>
      </c>
    </row>
    <row r="254" spans="1:6" x14ac:dyDescent="0.2">
      <c r="A254" s="7">
        <v>45880</v>
      </c>
      <c r="B254" s="2" t="str">
        <f t="shared" si="3"/>
        <v>August</v>
      </c>
      <c r="C254" s="2" t="s">
        <v>100</v>
      </c>
      <c r="D254" s="2" t="s">
        <v>19</v>
      </c>
      <c r="E254">
        <v>37</v>
      </c>
      <c r="F254" s="12" t="str">
        <f>_xlfn.XLOOKUP(raw_data_23[[#This Row],[Location]],Table2[Shop name],Table2[Category],"OCCATIONAL",0,1)</f>
        <v>FOOD</v>
      </c>
    </row>
    <row r="255" spans="1:6" x14ac:dyDescent="0.2">
      <c r="A255" s="7">
        <v>45880</v>
      </c>
      <c r="B255" s="2" t="str">
        <f t="shared" si="3"/>
        <v>August</v>
      </c>
      <c r="C255" s="2" t="s">
        <v>80</v>
      </c>
      <c r="D255" s="2" t="s">
        <v>19</v>
      </c>
      <c r="E255">
        <v>15</v>
      </c>
      <c r="F255" s="12" t="str">
        <f>_xlfn.XLOOKUP(raw_data_23[[#This Row],[Location]],Table2[Shop name],Table2[Category],"OCCATIONAL",0,1)</f>
        <v>FOOD</v>
      </c>
    </row>
    <row r="256" spans="1:6" x14ac:dyDescent="0.2">
      <c r="A256" s="7">
        <v>45880</v>
      </c>
      <c r="B256" s="2" t="str">
        <f t="shared" si="3"/>
        <v>August</v>
      </c>
      <c r="C256" s="2" t="s">
        <v>101</v>
      </c>
      <c r="D256" s="2" t="s">
        <v>19</v>
      </c>
      <c r="E256">
        <v>43</v>
      </c>
      <c r="F256" s="12" t="str">
        <f>_xlfn.XLOOKUP(raw_data_23[[#This Row],[Location]],Table2[Shop name],Table2[Category],"OCCATIONAL",0,1)</f>
        <v>FOOD</v>
      </c>
    </row>
    <row r="257" spans="1:6" x14ac:dyDescent="0.2">
      <c r="A257" s="7">
        <v>45880</v>
      </c>
      <c r="B257" s="2" t="str">
        <f t="shared" si="3"/>
        <v>August</v>
      </c>
      <c r="C257" s="2" t="s">
        <v>81</v>
      </c>
      <c r="D257" s="2" t="s">
        <v>19</v>
      </c>
      <c r="E257">
        <v>28</v>
      </c>
      <c r="F257" s="12" t="str">
        <f>_xlfn.XLOOKUP(raw_data_23[[#This Row],[Location]],Table2[Shop name],Table2[Category],"OCCATIONAL",0,1)</f>
        <v>OCCATIONAL</v>
      </c>
    </row>
    <row r="258" spans="1:6" x14ac:dyDescent="0.2">
      <c r="A258" s="7">
        <v>45880</v>
      </c>
      <c r="B258" s="2" t="str">
        <f t="shared" ref="B258:B321" si="4">TEXT(A258,"mmmm")</f>
        <v>August</v>
      </c>
      <c r="C258" s="2" t="s">
        <v>38</v>
      </c>
      <c r="D258" s="2" t="s">
        <v>19</v>
      </c>
      <c r="E258">
        <v>9.42</v>
      </c>
      <c r="F258" s="12" t="str">
        <f>_xlfn.XLOOKUP(raw_data_23[[#This Row],[Location]],Table2[Shop name],Table2[Category],"OCCATIONAL",0,1)</f>
        <v>GROCERIES</v>
      </c>
    </row>
    <row r="259" spans="1:6" x14ac:dyDescent="0.2">
      <c r="A259" s="7">
        <v>45881</v>
      </c>
      <c r="B259" s="2" t="str">
        <f t="shared" si="4"/>
        <v>August</v>
      </c>
      <c r="C259" s="2" t="s">
        <v>56</v>
      </c>
      <c r="D259" s="2" t="s">
        <v>19</v>
      </c>
      <c r="E259">
        <v>40.15</v>
      </c>
      <c r="F259" s="12" t="str">
        <f>_xlfn.XLOOKUP(raw_data_23[[#This Row],[Location]],Table2[Shop name],Table2[Category],"OCCATIONAL",0,1)</f>
        <v>HOME NEEDS</v>
      </c>
    </row>
    <row r="260" spans="1:6" x14ac:dyDescent="0.2">
      <c r="A260" s="7">
        <v>45881</v>
      </c>
      <c r="B260" s="2" t="str">
        <f t="shared" si="4"/>
        <v>August</v>
      </c>
      <c r="C260" s="2" t="s">
        <v>37</v>
      </c>
      <c r="D260" s="2" t="s">
        <v>19</v>
      </c>
      <c r="E260">
        <v>46.63</v>
      </c>
      <c r="F260" s="12" t="str">
        <f>_xlfn.XLOOKUP(raw_data_23[[#This Row],[Location]],Table2[Shop name],Table2[Category],"OCCATIONAL",0,1)</f>
        <v>GROCERIES</v>
      </c>
    </row>
    <row r="261" spans="1:6" x14ac:dyDescent="0.2">
      <c r="A261" s="7">
        <v>45882</v>
      </c>
      <c r="B261" s="2" t="str">
        <f t="shared" si="4"/>
        <v>August</v>
      </c>
      <c r="C261" s="2" t="s">
        <v>102</v>
      </c>
      <c r="D261" s="2" t="s">
        <v>19</v>
      </c>
      <c r="E261">
        <v>120</v>
      </c>
      <c r="F261" s="12" t="str">
        <f>_xlfn.XLOOKUP(raw_data_23[[#This Row],[Location]],Table2[Shop name],Table2[Category],"OCCATIONAL",0,1)</f>
        <v>HOME NEEDS</v>
      </c>
    </row>
    <row r="262" spans="1:6" x14ac:dyDescent="0.2">
      <c r="A262" s="7">
        <v>45882</v>
      </c>
      <c r="B262" s="2" t="str">
        <f t="shared" si="4"/>
        <v>August</v>
      </c>
      <c r="C262" s="2" t="s">
        <v>146</v>
      </c>
      <c r="D262" s="2" t="s">
        <v>19</v>
      </c>
      <c r="E262">
        <v>5.98</v>
      </c>
      <c r="F262" s="12" t="str">
        <f>_xlfn.XLOOKUP(raw_data_23[[#This Row],[Location]],Table2[Shop name],Table2[Category],"OCCATIONAL",0,1)</f>
        <v>GROCERIES</v>
      </c>
    </row>
    <row r="263" spans="1:6" x14ac:dyDescent="0.2">
      <c r="A263" s="7">
        <v>45882</v>
      </c>
      <c r="B263" s="2" t="str">
        <f t="shared" si="4"/>
        <v>August</v>
      </c>
      <c r="C263" s="2" t="s">
        <v>103</v>
      </c>
      <c r="D263" s="2" t="s">
        <v>19</v>
      </c>
      <c r="E263">
        <v>285.82</v>
      </c>
      <c r="F263" s="12" t="str">
        <f>_xlfn.XLOOKUP(raw_data_23[[#This Row],[Location]],Table2[Shop name],Table2[Category],"OCCATIONAL",0,1)</f>
        <v>PHARMACY</v>
      </c>
    </row>
    <row r="264" spans="1:6" x14ac:dyDescent="0.2">
      <c r="A264" s="7">
        <v>45882</v>
      </c>
      <c r="B264" s="2" t="str">
        <f t="shared" si="4"/>
        <v>August</v>
      </c>
      <c r="C264" s="2" t="s">
        <v>40</v>
      </c>
      <c r="D264" s="2" t="s">
        <v>19</v>
      </c>
      <c r="E264">
        <v>28</v>
      </c>
      <c r="F264" s="12" t="str">
        <f>_xlfn.XLOOKUP(raw_data_23[[#This Row],[Location]],Table2[Shop name],Table2[Category],"OCCATIONAL",0,1)</f>
        <v>GROCERIES</v>
      </c>
    </row>
    <row r="265" spans="1:6" x14ac:dyDescent="0.2">
      <c r="A265" s="7">
        <v>45882</v>
      </c>
      <c r="B265" s="2" t="str">
        <f t="shared" si="4"/>
        <v>August</v>
      </c>
      <c r="C265" s="2" t="s">
        <v>104</v>
      </c>
      <c r="D265" s="2" t="s">
        <v>19</v>
      </c>
      <c r="E265">
        <v>65.900000000000006</v>
      </c>
      <c r="F265" s="12" t="str">
        <f>_xlfn.XLOOKUP(raw_data_23[[#This Row],[Location]],Table2[Shop name],Table2[Category],"OCCATIONAL",0,1)</f>
        <v>OCCATIONAL</v>
      </c>
    </row>
    <row r="266" spans="1:6" x14ac:dyDescent="0.2">
      <c r="A266" s="7">
        <v>45882</v>
      </c>
      <c r="B266" s="2" t="str">
        <f t="shared" si="4"/>
        <v>August</v>
      </c>
      <c r="C266" s="2" t="s">
        <v>105</v>
      </c>
      <c r="D266" s="2" t="s">
        <v>19</v>
      </c>
      <c r="E266">
        <v>59.57</v>
      </c>
      <c r="F266" s="12" t="str">
        <f>_xlfn.XLOOKUP(raw_data_23[[#This Row],[Location]],Table2[Shop name],Table2[Category],"OCCATIONAL",0,1)</f>
        <v>HOME NEEDS</v>
      </c>
    </row>
    <row r="267" spans="1:6" x14ac:dyDescent="0.2">
      <c r="A267" s="7">
        <v>45882</v>
      </c>
      <c r="B267" s="2" t="str">
        <f t="shared" si="4"/>
        <v>August</v>
      </c>
      <c r="C267" s="2" t="s">
        <v>151</v>
      </c>
      <c r="D267" s="2" t="s">
        <v>19</v>
      </c>
      <c r="E267">
        <v>74.98</v>
      </c>
      <c r="F267" s="12" t="str">
        <f>_xlfn.XLOOKUP(raw_data_23[[#This Row],[Location]],Table2[Shop name],Table2[Category],"OCCATIONAL",0,1)</f>
        <v>OCCATIONAL</v>
      </c>
    </row>
    <row r="268" spans="1:6" x14ac:dyDescent="0.2">
      <c r="A268" s="7">
        <v>45882</v>
      </c>
      <c r="B268" s="2" t="str">
        <f t="shared" si="4"/>
        <v>August</v>
      </c>
      <c r="C268" s="2" t="s">
        <v>21</v>
      </c>
      <c r="D268" s="2" t="s">
        <v>19</v>
      </c>
      <c r="E268">
        <v>25</v>
      </c>
      <c r="F268" s="12" t="str">
        <f>_xlfn.XLOOKUP(raw_data_23[[#This Row],[Location]],Table2[Shop name],Table2[Category],"OCCATIONAL",0,1)</f>
        <v>TRAVEL</v>
      </c>
    </row>
    <row r="269" spans="1:6" x14ac:dyDescent="0.2">
      <c r="A269" s="7">
        <v>45882</v>
      </c>
      <c r="B269" s="2" t="str">
        <f t="shared" si="4"/>
        <v>August</v>
      </c>
      <c r="C269" s="2" t="s">
        <v>21</v>
      </c>
      <c r="D269" s="2" t="s">
        <v>19</v>
      </c>
      <c r="E269">
        <v>20</v>
      </c>
      <c r="F269" s="12" t="str">
        <f>_xlfn.XLOOKUP(raw_data_23[[#This Row],[Location]],Table2[Shop name],Table2[Category],"OCCATIONAL",0,1)</f>
        <v>TRAVEL</v>
      </c>
    </row>
    <row r="270" spans="1:6" x14ac:dyDescent="0.2">
      <c r="A270" s="7">
        <v>45882</v>
      </c>
      <c r="B270" s="2" t="str">
        <f t="shared" si="4"/>
        <v>August</v>
      </c>
      <c r="C270" s="2" t="s">
        <v>86</v>
      </c>
      <c r="D270" s="2" t="s">
        <v>19</v>
      </c>
      <c r="E270">
        <v>42</v>
      </c>
      <c r="F270" s="12" t="str">
        <f>_xlfn.XLOOKUP(raw_data_23[[#This Row],[Location]],Table2[Shop name],Table2[Category],"OCCATIONAL",0,1)</f>
        <v>HOME NEEDS</v>
      </c>
    </row>
    <row r="271" spans="1:6" x14ac:dyDescent="0.2">
      <c r="A271" s="7">
        <v>45882</v>
      </c>
      <c r="B271" s="2" t="str">
        <f t="shared" si="4"/>
        <v>August</v>
      </c>
      <c r="C271" s="2" t="s">
        <v>106</v>
      </c>
      <c r="D271" s="2" t="s">
        <v>19</v>
      </c>
      <c r="E271">
        <v>28.9</v>
      </c>
      <c r="F271" s="12" t="str">
        <f>_xlfn.XLOOKUP(raw_data_23[[#This Row],[Location]],Table2[Shop name],Table2[Category],"OCCATIONAL",0,1)</f>
        <v>FOOD</v>
      </c>
    </row>
    <row r="272" spans="1:6" x14ac:dyDescent="0.2">
      <c r="A272" s="7">
        <v>45882</v>
      </c>
      <c r="B272" s="2" t="str">
        <f t="shared" si="4"/>
        <v>August</v>
      </c>
      <c r="C272" s="2" t="s">
        <v>107</v>
      </c>
      <c r="D272" s="2" t="s">
        <v>19</v>
      </c>
      <c r="E272">
        <v>7.99</v>
      </c>
      <c r="F272" s="12" t="str">
        <f>_xlfn.XLOOKUP(raw_data_23[[#This Row],[Location]],Table2[Shop name],Table2[Category],"OCCATIONAL",0,1)</f>
        <v>FOOD</v>
      </c>
    </row>
    <row r="273" spans="1:6" x14ac:dyDescent="0.2">
      <c r="A273" s="7">
        <v>45883</v>
      </c>
      <c r="B273" s="2" t="str">
        <f t="shared" si="4"/>
        <v>August</v>
      </c>
      <c r="C273" s="2" t="s">
        <v>108</v>
      </c>
      <c r="D273" s="2" t="s">
        <v>19</v>
      </c>
      <c r="E273">
        <v>73.98</v>
      </c>
      <c r="F273" s="12" t="str">
        <f>_xlfn.XLOOKUP(raw_data_23[[#This Row],[Location]],Table2[Shop name],Table2[Category],"OCCATIONAL",0,1)</f>
        <v>FOOD</v>
      </c>
    </row>
    <row r="274" spans="1:6" x14ac:dyDescent="0.2">
      <c r="A274" s="7">
        <v>45883</v>
      </c>
      <c r="B274" s="2" t="str">
        <f t="shared" si="4"/>
        <v>August</v>
      </c>
      <c r="C274" s="2" t="s">
        <v>51</v>
      </c>
      <c r="D274" s="2" t="s">
        <v>19</v>
      </c>
      <c r="E274">
        <v>109.32</v>
      </c>
      <c r="F274" s="12" t="str">
        <f>_xlfn.XLOOKUP(raw_data_23[[#This Row],[Location]],Table2[Shop name],Table2[Category],"OCCATIONAL",0,1)</f>
        <v>GROCERIES</v>
      </c>
    </row>
    <row r="275" spans="1:6" x14ac:dyDescent="0.2">
      <c r="A275" s="7">
        <v>45883</v>
      </c>
      <c r="B275" s="2" t="str">
        <f t="shared" si="4"/>
        <v>August</v>
      </c>
      <c r="C275" s="2" t="s">
        <v>105</v>
      </c>
      <c r="D275" s="2" t="s">
        <v>19</v>
      </c>
      <c r="E275">
        <v>45.98</v>
      </c>
      <c r="F275" s="12" t="str">
        <f>_xlfn.XLOOKUP(raw_data_23[[#This Row],[Location]],Table2[Shop name],Table2[Category],"OCCATIONAL",0,1)</f>
        <v>HOME NEEDS</v>
      </c>
    </row>
    <row r="276" spans="1:6" x14ac:dyDescent="0.2">
      <c r="A276" s="7">
        <v>45883</v>
      </c>
      <c r="B276" s="2" t="str">
        <f t="shared" si="4"/>
        <v>August</v>
      </c>
      <c r="C276" s="2" t="s">
        <v>30</v>
      </c>
      <c r="D276" s="2" t="s">
        <v>9</v>
      </c>
      <c r="E276">
        <v>77.930000000000007</v>
      </c>
      <c r="F276" s="12" t="str">
        <f>_xlfn.XLOOKUP(raw_data_23[[#This Row],[Location]],Table2[Shop name],Table2[Category],"OCCATIONAL",0,1)</f>
        <v>TRAVEL</v>
      </c>
    </row>
    <row r="277" spans="1:6" x14ac:dyDescent="0.2">
      <c r="A277" s="7">
        <v>45883</v>
      </c>
      <c r="B277" s="2" t="str">
        <f t="shared" si="4"/>
        <v>August</v>
      </c>
      <c r="C277" s="2" t="s">
        <v>30</v>
      </c>
      <c r="D277" s="2" t="s">
        <v>9</v>
      </c>
      <c r="E277">
        <v>79.180000000000007</v>
      </c>
      <c r="F277" s="12" t="str">
        <f>_xlfn.XLOOKUP(raw_data_23[[#This Row],[Location]],Table2[Shop name],Table2[Category],"OCCATIONAL",0,1)</f>
        <v>TRAVEL</v>
      </c>
    </row>
    <row r="278" spans="1:6" x14ac:dyDescent="0.2">
      <c r="A278" s="7">
        <v>45883</v>
      </c>
      <c r="B278" s="2" t="str">
        <f t="shared" si="4"/>
        <v>August</v>
      </c>
      <c r="C278" s="2" t="s">
        <v>38</v>
      </c>
      <c r="D278" s="2" t="s">
        <v>19</v>
      </c>
      <c r="E278">
        <v>1.99</v>
      </c>
      <c r="F278" s="12" t="str">
        <f>_xlfn.XLOOKUP(raw_data_23[[#This Row],[Location]],Table2[Shop name],Table2[Category],"OCCATIONAL",0,1)</f>
        <v>GROCERIES</v>
      </c>
    </row>
    <row r="279" spans="1:6" x14ac:dyDescent="0.2">
      <c r="A279" s="7">
        <v>45884</v>
      </c>
      <c r="B279" s="2" t="str">
        <f t="shared" si="4"/>
        <v>August</v>
      </c>
      <c r="C279" s="2" t="s">
        <v>51</v>
      </c>
      <c r="D279" s="2" t="s">
        <v>10</v>
      </c>
      <c r="E279">
        <v>15.9</v>
      </c>
      <c r="F279" s="12" t="str">
        <f>_xlfn.XLOOKUP(raw_data_23[[#This Row],[Location]],Table2[Shop name],Table2[Category],"OCCATIONAL",0,1)</f>
        <v>GROCERIES</v>
      </c>
    </row>
    <row r="280" spans="1:6" x14ac:dyDescent="0.2">
      <c r="A280" s="7">
        <v>45887</v>
      </c>
      <c r="B280" s="2" t="str">
        <f t="shared" si="4"/>
        <v>August</v>
      </c>
      <c r="C280" s="2" t="s">
        <v>109</v>
      </c>
      <c r="D280" s="2" t="s">
        <v>19</v>
      </c>
      <c r="E280">
        <v>27.99</v>
      </c>
      <c r="F280" s="12" t="str">
        <f>_xlfn.XLOOKUP(raw_data_23[[#This Row],[Location]],Table2[Shop name],Table2[Category],"OCCATIONAL",0,1)</f>
        <v>PHARMACY</v>
      </c>
    </row>
    <row r="281" spans="1:6" x14ac:dyDescent="0.2">
      <c r="A281" s="7">
        <v>45887</v>
      </c>
      <c r="B281" s="2" t="str">
        <f t="shared" si="4"/>
        <v>August</v>
      </c>
      <c r="C281" s="2" t="s">
        <v>51</v>
      </c>
      <c r="D281" s="2" t="s">
        <v>19</v>
      </c>
      <c r="E281">
        <v>125.28</v>
      </c>
      <c r="F281" s="12" t="str">
        <f>_xlfn.XLOOKUP(raw_data_23[[#This Row],[Location]],Table2[Shop name],Table2[Category],"OCCATIONAL",0,1)</f>
        <v>GROCERIES</v>
      </c>
    </row>
    <row r="282" spans="1:6" x14ac:dyDescent="0.2">
      <c r="A282" s="7">
        <v>45887</v>
      </c>
      <c r="B282" s="2" t="str">
        <f t="shared" si="4"/>
        <v>August</v>
      </c>
      <c r="C282" s="2" t="s">
        <v>30</v>
      </c>
      <c r="D282" s="2" t="s">
        <v>9</v>
      </c>
      <c r="E282">
        <v>40.21</v>
      </c>
      <c r="F282" s="12" t="str">
        <f>_xlfn.XLOOKUP(raw_data_23[[#This Row],[Location]],Table2[Shop name],Table2[Category],"OCCATIONAL",0,1)</f>
        <v>TRAVEL</v>
      </c>
    </row>
    <row r="283" spans="1:6" x14ac:dyDescent="0.2">
      <c r="A283" s="7">
        <v>45887</v>
      </c>
      <c r="B283" s="2" t="str">
        <f t="shared" si="4"/>
        <v>August</v>
      </c>
      <c r="C283" s="2" t="s">
        <v>31</v>
      </c>
      <c r="D283" s="2" t="s">
        <v>9</v>
      </c>
      <c r="E283">
        <v>65.2</v>
      </c>
      <c r="F283" s="12" t="str">
        <f>_xlfn.XLOOKUP(raw_data_23[[#This Row],[Location]],Table2[Shop name],Table2[Category],"OCCATIONAL",0,1)</f>
        <v>FOOD DELIVERY</v>
      </c>
    </row>
    <row r="284" spans="1:6" x14ac:dyDescent="0.2">
      <c r="A284" s="7">
        <v>45887</v>
      </c>
      <c r="B284" s="2" t="str">
        <f t="shared" si="4"/>
        <v>August</v>
      </c>
      <c r="C284" s="2" t="s">
        <v>31</v>
      </c>
      <c r="D284" s="2" t="s">
        <v>9</v>
      </c>
      <c r="E284">
        <v>31.75</v>
      </c>
      <c r="F284" s="12" t="str">
        <f>_xlfn.XLOOKUP(raw_data_23[[#This Row],[Location]],Table2[Shop name],Table2[Category],"OCCATIONAL",0,1)</f>
        <v>FOOD DELIVERY</v>
      </c>
    </row>
    <row r="285" spans="1:6" x14ac:dyDescent="0.2">
      <c r="A285" s="7">
        <v>45887</v>
      </c>
      <c r="B285" s="2" t="str">
        <f t="shared" si="4"/>
        <v>August</v>
      </c>
      <c r="C285" s="2" t="s">
        <v>37</v>
      </c>
      <c r="D285" s="2" t="s">
        <v>19</v>
      </c>
      <c r="E285">
        <v>207.72</v>
      </c>
      <c r="F285" s="12" t="str">
        <f>_xlfn.XLOOKUP(raw_data_23[[#This Row],[Location]],Table2[Shop name],Table2[Category],"OCCATIONAL",0,1)</f>
        <v>GROCERIES</v>
      </c>
    </row>
    <row r="286" spans="1:6" x14ac:dyDescent="0.2">
      <c r="A286" s="7">
        <v>45888</v>
      </c>
      <c r="B286" s="2" t="str">
        <f t="shared" si="4"/>
        <v>August</v>
      </c>
      <c r="C286" s="2" t="s">
        <v>20</v>
      </c>
      <c r="D286" s="2" t="s">
        <v>19</v>
      </c>
      <c r="E286">
        <v>40.159999999999997</v>
      </c>
      <c r="F286" s="12" t="str">
        <f>_xlfn.XLOOKUP(raw_data_23[[#This Row],[Location]],Table2[Shop name],Table2[Category],"OCCATIONAL",0,1)</f>
        <v>ONLINE ORDERS</v>
      </c>
    </row>
    <row r="287" spans="1:6" x14ac:dyDescent="0.2">
      <c r="A287" s="7">
        <v>45888</v>
      </c>
      <c r="B287" s="2" t="str">
        <f t="shared" si="4"/>
        <v>August</v>
      </c>
      <c r="C287" s="2" t="s">
        <v>150</v>
      </c>
      <c r="D287" s="2" t="s">
        <v>19</v>
      </c>
      <c r="E287">
        <v>12.99</v>
      </c>
      <c r="F287" s="12" t="str">
        <f>_xlfn.XLOOKUP(raw_data_23[[#This Row],[Location]],Table2[Shop name],Table2[Category],"OCCATIONAL",0,1)</f>
        <v>OCCATIONAL</v>
      </c>
    </row>
    <row r="288" spans="1:6" x14ac:dyDescent="0.2">
      <c r="A288" s="7">
        <v>45888</v>
      </c>
      <c r="B288" s="2" t="str">
        <f t="shared" si="4"/>
        <v>August</v>
      </c>
      <c r="C288" s="2" t="s">
        <v>146</v>
      </c>
      <c r="D288" s="2" t="s">
        <v>19</v>
      </c>
      <c r="E288">
        <v>5.98</v>
      </c>
      <c r="F288" s="12" t="str">
        <f>_xlfn.XLOOKUP(raw_data_23[[#This Row],[Location]],Table2[Shop name],Table2[Category],"OCCATIONAL",0,1)</f>
        <v>GROCERIES</v>
      </c>
    </row>
    <row r="289" spans="1:6" x14ac:dyDescent="0.2">
      <c r="A289" s="7">
        <v>45888</v>
      </c>
      <c r="B289" s="2" t="str">
        <f t="shared" si="4"/>
        <v>August</v>
      </c>
      <c r="C289" s="2" t="s">
        <v>20</v>
      </c>
      <c r="D289" s="2" t="s">
        <v>19</v>
      </c>
      <c r="E289">
        <v>45.25</v>
      </c>
      <c r="F289" s="12" t="str">
        <f>_xlfn.XLOOKUP(raw_data_23[[#This Row],[Location]],Table2[Shop name],Table2[Category],"OCCATIONAL",0,1)</f>
        <v>ONLINE ORDERS</v>
      </c>
    </row>
    <row r="290" spans="1:6" x14ac:dyDescent="0.2">
      <c r="A290" s="7">
        <v>45888</v>
      </c>
      <c r="B290" s="2" t="str">
        <f t="shared" si="4"/>
        <v>August</v>
      </c>
      <c r="C290" s="2" t="s">
        <v>20</v>
      </c>
      <c r="D290" s="2" t="s">
        <v>19</v>
      </c>
      <c r="E290">
        <v>65.8</v>
      </c>
      <c r="F290" s="12" t="str">
        <f>_xlfn.XLOOKUP(raw_data_23[[#This Row],[Location]],Table2[Shop name],Table2[Category],"OCCATIONAL",0,1)</f>
        <v>ONLINE ORDERS</v>
      </c>
    </row>
    <row r="291" spans="1:6" x14ac:dyDescent="0.2">
      <c r="A291" s="7">
        <v>45888</v>
      </c>
      <c r="B291" s="2" t="str">
        <f t="shared" si="4"/>
        <v>August</v>
      </c>
      <c r="C291" s="2" t="s">
        <v>37</v>
      </c>
      <c r="D291" s="2" t="s">
        <v>19</v>
      </c>
      <c r="E291">
        <v>37.1</v>
      </c>
      <c r="F291" s="12" t="str">
        <f>_xlfn.XLOOKUP(raw_data_23[[#This Row],[Location]],Table2[Shop name],Table2[Category],"OCCATIONAL",0,1)</f>
        <v>GROCERIES</v>
      </c>
    </row>
    <row r="292" spans="1:6" x14ac:dyDescent="0.2">
      <c r="A292" s="7">
        <v>45889</v>
      </c>
      <c r="B292" s="2" t="str">
        <f t="shared" si="4"/>
        <v>August</v>
      </c>
      <c r="C292" s="2" t="s">
        <v>38</v>
      </c>
      <c r="D292" s="2" t="s">
        <v>19</v>
      </c>
      <c r="E292">
        <v>10.48</v>
      </c>
      <c r="F292" s="12" t="str">
        <f>_xlfn.XLOOKUP(raw_data_23[[#This Row],[Location]],Table2[Shop name],Table2[Category],"OCCATIONAL",0,1)</f>
        <v>GROCERIES</v>
      </c>
    </row>
    <row r="293" spans="1:6" x14ac:dyDescent="0.2">
      <c r="A293" s="7">
        <v>45890</v>
      </c>
      <c r="B293" s="2" t="str">
        <f t="shared" si="4"/>
        <v>August</v>
      </c>
      <c r="C293" s="2" t="s">
        <v>37</v>
      </c>
      <c r="D293" s="2" t="s">
        <v>19</v>
      </c>
      <c r="E293">
        <v>121.54</v>
      </c>
      <c r="F293" s="12" t="str">
        <f>_xlfn.XLOOKUP(raw_data_23[[#This Row],[Location]],Table2[Shop name],Table2[Category],"OCCATIONAL",0,1)</f>
        <v>GROCERIES</v>
      </c>
    </row>
    <row r="294" spans="1:6" x14ac:dyDescent="0.2">
      <c r="A294" s="7">
        <v>45891</v>
      </c>
      <c r="B294" s="2" t="str">
        <f t="shared" si="4"/>
        <v>August</v>
      </c>
      <c r="C294" s="2" t="s">
        <v>150</v>
      </c>
      <c r="D294" s="2" t="s">
        <v>19</v>
      </c>
      <c r="E294">
        <v>33.97</v>
      </c>
      <c r="F294" s="12" t="str">
        <f>_xlfn.XLOOKUP(raw_data_23[[#This Row],[Location]],Table2[Shop name],Table2[Category],"OCCATIONAL",0,1)</f>
        <v>OCCATIONAL</v>
      </c>
    </row>
    <row r="295" spans="1:6" x14ac:dyDescent="0.2">
      <c r="A295" s="7">
        <v>45891</v>
      </c>
      <c r="B295" s="2" t="str">
        <f t="shared" si="4"/>
        <v>August</v>
      </c>
      <c r="C295" s="2" t="s">
        <v>110</v>
      </c>
      <c r="D295" s="2" t="s">
        <v>19</v>
      </c>
      <c r="E295">
        <v>12</v>
      </c>
      <c r="F295" s="12" t="str">
        <f>_xlfn.XLOOKUP(raw_data_23[[#This Row],[Location]],Table2[Shop name],Table2[Category],"OCCATIONAL",0,1)</f>
        <v>TRAVEL</v>
      </c>
    </row>
    <row r="296" spans="1:6" x14ac:dyDescent="0.2">
      <c r="A296" s="7">
        <v>45891</v>
      </c>
      <c r="B296" s="2" t="str">
        <f t="shared" si="4"/>
        <v>August</v>
      </c>
      <c r="C296" s="2" t="s">
        <v>103</v>
      </c>
      <c r="D296" s="2" t="s">
        <v>19</v>
      </c>
      <c r="E296">
        <v>49.99</v>
      </c>
      <c r="F296" s="12" t="str">
        <f>_xlfn.XLOOKUP(raw_data_23[[#This Row],[Location]],Table2[Shop name],Table2[Category],"OCCATIONAL",0,1)</f>
        <v>PHARMACY</v>
      </c>
    </row>
    <row r="297" spans="1:6" x14ac:dyDescent="0.2">
      <c r="A297" s="7">
        <v>45891</v>
      </c>
      <c r="B297" s="2" t="str">
        <f t="shared" si="4"/>
        <v>August</v>
      </c>
      <c r="C297" s="2" t="s">
        <v>21</v>
      </c>
      <c r="D297" s="2" t="s">
        <v>19</v>
      </c>
      <c r="E297">
        <v>20</v>
      </c>
      <c r="F297" s="12" t="str">
        <f>_xlfn.XLOOKUP(raw_data_23[[#This Row],[Location]],Table2[Shop name],Table2[Category],"OCCATIONAL",0,1)</f>
        <v>TRAVEL</v>
      </c>
    </row>
    <row r="298" spans="1:6" x14ac:dyDescent="0.2">
      <c r="A298" s="7">
        <v>45891</v>
      </c>
      <c r="B298" s="2" t="str">
        <f t="shared" si="4"/>
        <v>August</v>
      </c>
      <c r="C298" s="2" t="s">
        <v>34</v>
      </c>
      <c r="D298" s="2" t="s">
        <v>4</v>
      </c>
      <c r="E298">
        <v>48</v>
      </c>
      <c r="F298" s="12" t="str">
        <f>_xlfn.XLOOKUP(raw_data_23[[#This Row],[Location]],Table2[Shop name],Table2[Category],"OCCATIONAL",0,1)</f>
        <v>TRAVEL</v>
      </c>
    </row>
    <row r="299" spans="1:6" x14ac:dyDescent="0.2">
      <c r="A299" s="7">
        <v>45891</v>
      </c>
      <c r="B299" s="2" t="str">
        <f t="shared" si="4"/>
        <v>August</v>
      </c>
      <c r="C299" s="2" t="s">
        <v>70</v>
      </c>
      <c r="D299" s="2" t="s">
        <v>19</v>
      </c>
      <c r="E299">
        <v>144.79</v>
      </c>
      <c r="F299" s="12" t="str">
        <f>_xlfn.XLOOKUP(raw_data_23[[#This Row],[Location]],Table2[Shop name],Table2[Category],"OCCATIONAL",0,1)</f>
        <v>GROCERIES</v>
      </c>
    </row>
    <row r="300" spans="1:6" x14ac:dyDescent="0.2">
      <c r="A300" s="7">
        <v>45891</v>
      </c>
      <c r="B300" s="2" t="str">
        <f t="shared" si="4"/>
        <v>August</v>
      </c>
      <c r="C300" s="2" t="s">
        <v>38</v>
      </c>
      <c r="D300" s="2" t="s">
        <v>19</v>
      </c>
      <c r="E300">
        <v>7.5</v>
      </c>
      <c r="F300" s="12" t="str">
        <f>_xlfn.XLOOKUP(raw_data_23[[#This Row],[Location]],Table2[Shop name],Table2[Category],"OCCATIONAL",0,1)</f>
        <v>GROCERIES</v>
      </c>
    </row>
    <row r="301" spans="1:6" x14ac:dyDescent="0.2">
      <c r="A301" s="7">
        <v>45891</v>
      </c>
      <c r="B301" s="2" t="str">
        <f t="shared" si="4"/>
        <v>August</v>
      </c>
      <c r="C301" s="2" t="s">
        <v>38</v>
      </c>
      <c r="D301" s="2" t="s">
        <v>19</v>
      </c>
      <c r="E301">
        <v>13.87</v>
      </c>
      <c r="F301" s="12" t="str">
        <f>_xlfn.XLOOKUP(raw_data_23[[#This Row],[Location]],Table2[Shop name],Table2[Category],"OCCATIONAL",0,1)</f>
        <v>GROCERIES</v>
      </c>
    </row>
    <row r="302" spans="1:6" x14ac:dyDescent="0.2">
      <c r="A302" s="7">
        <v>45892</v>
      </c>
      <c r="B302" s="2" t="str">
        <f t="shared" si="4"/>
        <v>August</v>
      </c>
      <c r="C302" s="2" t="s">
        <v>109</v>
      </c>
      <c r="D302" s="2" t="s">
        <v>19</v>
      </c>
      <c r="E302">
        <v>31.99</v>
      </c>
      <c r="F302" s="12" t="str">
        <f>_xlfn.XLOOKUP(raw_data_23[[#This Row],[Location]],Table2[Shop name],Table2[Category],"OCCATIONAL",0,1)</f>
        <v>PHARMACY</v>
      </c>
    </row>
    <row r="303" spans="1:6" x14ac:dyDescent="0.2">
      <c r="A303" s="7">
        <v>45892</v>
      </c>
      <c r="B303" s="2" t="str">
        <f t="shared" si="4"/>
        <v>August</v>
      </c>
      <c r="C303" s="2" t="s">
        <v>37</v>
      </c>
      <c r="D303" s="2" t="s">
        <v>19</v>
      </c>
      <c r="E303">
        <v>136.59</v>
      </c>
      <c r="F303" s="12" t="str">
        <f>_xlfn.XLOOKUP(raw_data_23[[#This Row],[Location]],Table2[Shop name],Table2[Category],"OCCATIONAL",0,1)</f>
        <v>GROCERIES</v>
      </c>
    </row>
    <row r="304" spans="1:6" x14ac:dyDescent="0.2">
      <c r="A304" s="7">
        <v>45893</v>
      </c>
      <c r="B304" s="2" t="str">
        <f t="shared" si="4"/>
        <v>August</v>
      </c>
      <c r="C304" s="2" t="s">
        <v>31</v>
      </c>
      <c r="D304" s="2" t="s">
        <v>9</v>
      </c>
      <c r="E304">
        <v>57.23</v>
      </c>
      <c r="F304" s="12" t="str">
        <f>_xlfn.XLOOKUP(raw_data_23[[#This Row],[Location]],Table2[Shop name],Table2[Category],"OCCATIONAL",0,1)</f>
        <v>FOOD DELIVERY</v>
      </c>
    </row>
    <row r="305" spans="1:6" x14ac:dyDescent="0.2">
      <c r="A305" s="7">
        <v>45895</v>
      </c>
      <c r="B305" s="2" t="str">
        <f t="shared" si="4"/>
        <v>August</v>
      </c>
      <c r="C305" s="2" t="s">
        <v>111</v>
      </c>
      <c r="D305" s="2" t="s">
        <v>19</v>
      </c>
      <c r="E305">
        <v>2.7</v>
      </c>
      <c r="F305" s="12" t="str">
        <f>_xlfn.XLOOKUP(raw_data_23[[#This Row],[Location]],Table2[Shop name],Table2[Category],"OCCATIONAL",0,1)</f>
        <v>PHARMACY</v>
      </c>
    </row>
    <row r="306" spans="1:6" x14ac:dyDescent="0.2">
      <c r="A306" s="7">
        <v>45895</v>
      </c>
      <c r="B306" s="2" t="str">
        <f t="shared" si="4"/>
        <v>August</v>
      </c>
      <c r="C306" s="2" t="s">
        <v>50</v>
      </c>
      <c r="D306" s="2" t="s">
        <v>19</v>
      </c>
      <c r="E306">
        <v>14.5</v>
      </c>
      <c r="F306" s="12" t="str">
        <f>_xlfn.XLOOKUP(raw_data_23[[#This Row],[Location]],Table2[Shop name],Table2[Category],"OCCATIONAL",0,1)</f>
        <v>COFFEE SHOP</v>
      </c>
    </row>
    <row r="307" spans="1:6" x14ac:dyDescent="0.2">
      <c r="A307" s="7">
        <v>45895</v>
      </c>
      <c r="B307" s="2" t="str">
        <f t="shared" si="4"/>
        <v>August</v>
      </c>
      <c r="C307" s="2" t="s">
        <v>37</v>
      </c>
      <c r="D307" s="2" t="s">
        <v>19</v>
      </c>
      <c r="E307">
        <v>286.94</v>
      </c>
      <c r="F307" s="12" t="str">
        <f>_xlfn.XLOOKUP(raw_data_23[[#This Row],[Location]],Table2[Shop name],Table2[Category],"OCCATIONAL",0,1)</f>
        <v>GROCERIES</v>
      </c>
    </row>
    <row r="308" spans="1:6" x14ac:dyDescent="0.2">
      <c r="A308" s="7">
        <v>45896</v>
      </c>
      <c r="B308" s="2" t="str">
        <f t="shared" si="4"/>
        <v>August</v>
      </c>
      <c r="C308" s="2" t="s">
        <v>146</v>
      </c>
      <c r="D308" s="2" t="s">
        <v>19</v>
      </c>
      <c r="E308">
        <v>46.88</v>
      </c>
      <c r="F308" s="12" t="str">
        <f>_xlfn.XLOOKUP(raw_data_23[[#This Row],[Location]],Table2[Shop name],Table2[Category],"OCCATIONAL",0,1)</f>
        <v>GROCERIES</v>
      </c>
    </row>
    <row r="309" spans="1:6" x14ac:dyDescent="0.2">
      <c r="A309" s="7">
        <v>45897</v>
      </c>
      <c r="B309" s="2" t="str">
        <f t="shared" si="4"/>
        <v>August</v>
      </c>
      <c r="C309" s="2" t="s">
        <v>37</v>
      </c>
      <c r="D309" s="2" t="s">
        <v>19</v>
      </c>
      <c r="E309">
        <v>44.06</v>
      </c>
      <c r="F309" s="12" t="str">
        <f>_xlfn.XLOOKUP(raw_data_23[[#This Row],[Location]],Table2[Shop name],Table2[Category],"OCCATIONAL",0,1)</f>
        <v>GROCERIES</v>
      </c>
    </row>
    <row r="310" spans="1:6" x14ac:dyDescent="0.2">
      <c r="A310" s="7">
        <v>45898</v>
      </c>
      <c r="B310" s="2" t="str">
        <f t="shared" si="4"/>
        <v>August</v>
      </c>
      <c r="C310" s="2" t="s">
        <v>51</v>
      </c>
      <c r="D310" s="2" t="s">
        <v>19</v>
      </c>
      <c r="E310">
        <v>123.11</v>
      </c>
      <c r="F310" s="12" t="str">
        <f>_xlfn.XLOOKUP(raw_data_23[[#This Row],[Location]],Table2[Shop name],Table2[Category],"OCCATIONAL",0,1)</f>
        <v>GROCERIES</v>
      </c>
    </row>
    <row r="311" spans="1:6" x14ac:dyDescent="0.2">
      <c r="A311" s="7">
        <v>45898</v>
      </c>
      <c r="B311" s="2" t="str">
        <f t="shared" si="4"/>
        <v>August</v>
      </c>
      <c r="C311" s="2" t="s">
        <v>21</v>
      </c>
      <c r="D311" s="2" t="s">
        <v>19</v>
      </c>
      <c r="E311">
        <v>20</v>
      </c>
      <c r="F311" s="12" t="str">
        <f>_xlfn.XLOOKUP(raw_data_23[[#This Row],[Location]],Table2[Shop name],Table2[Category],"OCCATIONAL",0,1)</f>
        <v>TRAVEL</v>
      </c>
    </row>
    <row r="312" spans="1:6" x14ac:dyDescent="0.2">
      <c r="A312" s="7">
        <v>45898</v>
      </c>
      <c r="B312" s="2" t="str">
        <f t="shared" si="4"/>
        <v>August</v>
      </c>
      <c r="C312" s="2" t="s">
        <v>21</v>
      </c>
      <c r="D312" s="2" t="s">
        <v>19</v>
      </c>
      <c r="E312">
        <v>20</v>
      </c>
      <c r="F312" s="12" t="str">
        <f>_xlfn.XLOOKUP(raw_data_23[[#This Row],[Location]],Table2[Shop name],Table2[Category],"OCCATIONAL",0,1)</f>
        <v>TRAVEL</v>
      </c>
    </row>
    <row r="313" spans="1:6" x14ac:dyDescent="0.2">
      <c r="A313" s="7">
        <v>45898</v>
      </c>
      <c r="B313" s="2" t="str">
        <f t="shared" si="4"/>
        <v>August</v>
      </c>
      <c r="C313" s="2" t="s">
        <v>31</v>
      </c>
      <c r="D313" s="2" t="s">
        <v>9</v>
      </c>
      <c r="E313">
        <v>82.25</v>
      </c>
      <c r="F313" s="12" t="str">
        <f>_xlfn.XLOOKUP(raw_data_23[[#This Row],[Location]],Table2[Shop name],Table2[Category],"OCCATIONAL",0,1)</f>
        <v>FOOD DELIVERY</v>
      </c>
    </row>
    <row r="314" spans="1:6" x14ac:dyDescent="0.2">
      <c r="A314" s="7">
        <v>45898</v>
      </c>
      <c r="B314" s="2" t="str">
        <f t="shared" si="4"/>
        <v>August</v>
      </c>
      <c r="C314" s="2" t="s">
        <v>112</v>
      </c>
      <c r="D314" s="2" t="s">
        <v>19</v>
      </c>
      <c r="E314">
        <v>80</v>
      </c>
      <c r="F314" s="12" t="str">
        <f>_xlfn.XLOOKUP(raw_data_23[[#This Row],[Location]],Table2[Shop name],Table2[Category],"OCCATIONAL",0,1)</f>
        <v>FOOD</v>
      </c>
    </row>
    <row r="315" spans="1:6" x14ac:dyDescent="0.2">
      <c r="A315" s="7">
        <v>45898</v>
      </c>
      <c r="B315" s="2" t="str">
        <f t="shared" si="4"/>
        <v>August</v>
      </c>
      <c r="C315" s="2" t="s">
        <v>113</v>
      </c>
      <c r="D315" s="2" t="s">
        <v>19</v>
      </c>
      <c r="E315">
        <v>50</v>
      </c>
      <c r="F315" s="12" t="str">
        <f>_xlfn.XLOOKUP(raw_data_23[[#This Row],[Location]],Table2[Shop name],Table2[Category],"OCCATIONAL",0,1)</f>
        <v>FOOD</v>
      </c>
    </row>
    <row r="316" spans="1:6" x14ac:dyDescent="0.2">
      <c r="A316" s="7">
        <v>45899</v>
      </c>
      <c r="B316" s="2" t="str">
        <f t="shared" si="4"/>
        <v>August</v>
      </c>
      <c r="C316" s="2" t="s">
        <v>109</v>
      </c>
      <c r="D316" s="2" t="s">
        <v>19</v>
      </c>
      <c r="E316">
        <v>124.6</v>
      </c>
      <c r="F316" s="12" t="str">
        <f>_xlfn.XLOOKUP(raw_data_23[[#This Row],[Location]],Table2[Shop name],Table2[Category],"OCCATIONAL",0,1)</f>
        <v>PHARMACY</v>
      </c>
    </row>
    <row r="317" spans="1:6" x14ac:dyDescent="0.2">
      <c r="A317" s="7">
        <v>45899</v>
      </c>
      <c r="B317" s="2" t="str">
        <f t="shared" si="4"/>
        <v>August</v>
      </c>
      <c r="C317" s="2" t="s">
        <v>40</v>
      </c>
      <c r="D317" s="2" t="s">
        <v>19</v>
      </c>
      <c r="E317">
        <v>100.8</v>
      </c>
      <c r="F317" s="12" t="str">
        <f>_xlfn.XLOOKUP(raw_data_23[[#This Row],[Location]],Table2[Shop name],Table2[Category],"OCCATIONAL",0,1)</f>
        <v>GROCERIES</v>
      </c>
    </row>
    <row r="318" spans="1:6" x14ac:dyDescent="0.2">
      <c r="A318" s="7">
        <v>45899</v>
      </c>
      <c r="B318" s="2" t="str">
        <f t="shared" si="4"/>
        <v>August</v>
      </c>
      <c r="C318" s="2" t="s">
        <v>21</v>
      </c>
      <c r="D318" s="2" t="s">
        <v>19</v>
      </c>
      <c r="E318">
        <v>25</v>
      </c>
      <c r="F318" s="12" t="str">
        <f>_xlfn.XLOOKUP(raw_data_23[[#This Row],[Location]],Table2[Shop name],Table2[Category],"OCCATIONAL",0,1)</f>
        <v>TRAVEL</v>
      </c>
    </row>
    <row r="319" spans="1:6" x14ac:dyDescent="0.2">
      <c r="A319" s="7">
        <v>45899</v>
      </c>
      <c r="B319" s="2" t="str">
        <f t="shared" si="4"/>
        <v>August</v>
      </c>
      <c r="C319" s="2" t="s">
        <v>114</v>
      </c>
      <c r="D319" s="2" t="s">
        <v>19</v>
      </c>
      <c r="E319">
        <v>9</v>
      </c>
      <c r="F319" s="12" t="str">
        <f>_xlfn.XLOOKUP(raw_data_23[[#This Row],[Location]],Table2[Shop name],Table2[Category],"OCCATIONAL",0,1)</f>
        <v>FOOD</v>
      </c>
    </row>
    <row r="320" spans="1:6" x14ac:dyDescent="0.2">
      <c r="A320" s="7">
        <v>45899</v>
      </c>
      <c r="B320" s="2" t="str">
        <f t="shared" si="4"/>
        <v>August</v>
      </c>
      <c r="C320" s="2" t="s">
        <v>112</v>
      </c>
      <c r="D320" s="2" t="s">
        <v>19</v>
      </c>
      <c r="E320">
        <v>67</v>
      </c>
      <c r="F320" s="12" t="str">
        <f>_xlfn.XLOOKUP(raw_data_23[[#This Row],[Location]],Table2[Shop name],Table2[Category],"OCCATIONAL",0,1)</f>
        <v>FOOD</v>
      </c>
    </row>
    <row r="321" spans="1:6" x14ac:dyDescent="0.2">
      <c r="A321" s="7">
        <v>45899</v>
      </c>
      <c r="B321" s="2" t="str">
        <f t="shared" si="4"/>
        <v>August</v>
      </c>
      <c r="C321" s="2" t="s">
        <v>160</v>
      </c>
      <c r="D321" s="2" t="s">
        <v>19</v>
      </c>
      <c r="E321">
        <v>35.549999999999997</v>
      </c>
      <c r="F321" s="12" t="str">
        <f>_xlfn.XLOOKUP(raw_data_23[[#This Row],[Location]],Table2[Shop name],Table2[Category],"OCCATIONAL",0,1)</f>
        <v>COFFEE SHOP</v>
      </c>
    </row>
    <row r="322" spans="1:6" x14ac:dyDescent="0.2">
      <c r="A322" s="7">
        <v>45899</v>
      </c>
      <c r="B322" s="2" t="str">
        <f t="shared" ref="B322:B385" si="5">TEXT(A322,"mmmm")</f>
        <v>August</v>
      </c>
      <c r="C322" s="2" t="s">
        <v>37</v>
      </c>
      <c r="D322" s="2" t="s">
        <v>19</v>
      </c>
      <c r="E322">
        <v>94.86</v>
      </c>
      <c r="F322" s="12" t="str">
        <f>_xlfn.XLOOKUP(raw_data_23[[#This Row],[Location]],Table2[Shop name],Table2[Category],"OCCATIONAL",0,1)</f>
        <v>GROCERIES</v>
      </c>
    </row>
    <row r="323" spans="1:6" x14ac:dyDescent="0.2">
      <c r="A323" s="7">
        <v>45899</v>
      </c>
      <c r="B323" s="2" t="str">
        <f t="shared" si="5"/>
        <v>August</v>
      </c>
      <c r="C323" s="2" t="s">
        <v>115</v>
      </c>
      <c r="D323" s="2" t="s">
        <v>19</v>
      </c>
      <c r="E323">
        <v>84</v>
      </c>
      <c r="F323" s="12" t="str">
        <f>_xlfn.XLOOKUP(raw_data_23[[#This Row],[Location]],Table2[Shop name],Table2[Category],"OCCATIONAL",0,1)</f>
        <v>TRAVEL</v>
      </c>
    </row>
    <row r="324" spans="1:6" x14ac:dyDescent="0.2">
      <c r="A324" s="7">
        <v>45899</v>
      </c>
      <c r="B324" s="2" t="str">
        <f t="shared" si="5"/>
        <v>August</v>
      </c>
      <c r="C324" s="2" t="s">
        <v>46</v>
      </c>
      <c r="D324" s="2" t="s">
        <v>19</v>
      </c>
      <c r="E324">
        <v>37</v>
      </c>
      <c r="F324" s="12" t="str">
        <f>_xlfn.XLOOKUP(raw_data_23[[#This Row],[Location]],Table2[Shop name],Table2[Category],"OCCATIONAL",0,1)</f>
        <v>FOOD</v>
      </c>
    </row>
    <row r="325" spans="1:6" x14ac:dyDescent="0.2">
      <c r="A325" s="7">
        <v>45901</v>
      </c>
      <c r="B325" s="2" t="str">
        <f t="shared" si="5"/>
        <v>September</v>
      </c>
      <c r="C325" s="2" t="s">
        <v>51</v>
      </c>
      <c r="D325" s="2" t="s">
        <v>19</v>
      </c>
      <c r="E325">
        <v>175.96</v>
      </c>
      <c r="F325" s="12" t="str">
        <f>_xlfn.XLOOKUP(raw_data_23[[#This Row],[Location]],Table2[Shop name],Table2[Category],"OCCATIONAL",0,1)</f>
        <v>GROCERIES</v>
      </c>
    </row>
    <row r="326" spans="1:6" x14ac:dyDescent="0.2">
      <c r="A326" s="7">
        <v>45901</v>
      </c>
      <c r="B326" s="2" t="str">
        <f t="shared" si="5"/>
        <v>September</v>
      </c>
      <c r="C326" s="2" t="s">
        <v>24</v>
      </c>
      <c r="D326" s="2" t="s">
        <v>19</v>
      </c>
      <c r="E326">
        <v>35</v>
      </c>
      <c r="F326" s="12" t="str">
        <f>_xlfn.XLOOKUP(raw_data_23[[#This Row],[Location]],Table2[Shop name],Table2[Category],"OCCATIONAL",0,1)</f>
        <v>OTHER</v>
      </c>
    </row>
    <row r="327" spans="1:6" x14ac:dyDescent="0.2">
      <c r="A327" s="7">
        <v>45901</v>
      </c>
      <c r="B327" s="2" t="str">
        <f t="shared" si="5"/>
        <v>September</v>
      </c>
      <c r="C327" s="2" t="s">
        <v>32</v>
      </c>
      <c r="D327" s="2" t="s">
        <v>19</v>
      </c>
      <c r="E327">
        <v>996.93</v>
      </c>
      <c r="F327" s="12" t="str">
        <f>_xlfn.XLOOKUP(raw_data_23[[#This Row],[Location]],Table2[Shop name],Table2[Category],"OCCATIONAL",0,1)</f>
        <v>HOME NEEDS</v>
      </c>
    </row>
    <row r="328" spans="1:6" x14ac:dyDescent="0.2">
      <c r="A328" s="7">
        <v>45901</v>
      </c>
      <c r="B328" s="2" t="str">
        <f t="shared" si="5"/>
        <v>September</v>
      </c>
      <c r="C328" s="2" t="s">
        <v>37</v>
      </c>
      <c r="D328" s="2" t="s">
        <v>19</v>
      </c>
      <c r="E328">
        <v>17.37</v>
      </c>
      <c r="F328" s="12" t="str">
        <f>_xlfn.XLOOKUP(raw_data_23[[#This Row],[Location]],Table2[Shop name],Table2[Category],"OCCATIONAL",0,1)</f>
        <v>GROCERIES</v>
      </c>
    </row>
    <row r="329" spans="1:6" x14ac:dyDescent="0.2">
      <c r="A329" s="7">
        <v>45902</v>
      </c>
      <c r="B329" s="2" t="str">
        <f t="shared" si="5"/>
        <v>September</v>
      </c>
      <c r="C329" s="2" t="s">
        <v>37</v>
      </c>
      <c r="D329" s="2" t="s">
        <v>19</v>
      </c>
      <c r="E329">
        <v>38.229999999999997</v>
      </c>
      <c r="F329" s="12" t="str">
        <f>_xlfn.XLOOKUP(raw_data_23[[#This Row],[Location]],Table2[Shop name],Table2[Category],"OCCATIONAL",0,1)</f>
        <v>GROCERIES</v>
      </c>
    </row>
    <row r="330" spans="1:6" x14ac:dyDescent="0.2">
      <c r="A330" s="7">
        <v>45903</v>
      </c>
      <c r="B330" s="2" t="str">
        <f t="shared" si="5"/>
        <v>September</v>
      </c>
      <c r="C330" s="2" t="s">
        <v>116</v>
      </c>
      <c r="D330" s="2" t="s">
        <v>19</v>
      </c>
      <c r="E330">
        <v>21.25</v>
      </c>
      <c r="F330" s="12" t="str">
        <f>_xlfn.XLOOKUP(raw_data_23[[#This Row],[Location]],Table2[Shop name],Table2[Category],"OCCATIONAL",0,1)</f>
        <v>FOOD</v>
      </c>
    </row>
    <row r="331" spans="1:6" x14ac:dyDescent="0.2">
      <c r="A331" s="7">
        <v>45903</v>
      </c>
      <c r="B331" s="2" t="str">
        <f t="shared" si="5"/>
        <v>September</v>
      </c>
      <c r="C331" s="2" t="s">
        <v>31</v>
      </c>
      <c r="D331" s="2" t="s">
        <v>9</v>
      </c>
      <c r="E331">
        <v>68.89</v>
      </c>
      <c r="F331" s="12" t="str">
        <f>_xlfn.XLOOKUP(raw_data_23[[#This Row],[Location]],Table2[Shop name],Table2[Category],"OCCATIONAL",0,1)</f>
        <v>FOOD DELIVERY</v>
      </c>
    </row>
    <row r="332" spans="1:6" x14ac:dyDescent="0.2">
      <c r="A332" s="7">
        <v>45904</v>
      </c>
      <c r="B332" s="2" t="str">
        <f t="shared" si="5"/>
        <v>September</v>
      </c>
      <c r="C332" s="2" t="s">
        <v>146</v>
      </c>
      <c r="D332" s="2" t="s">
        <v>19</v>
      </c>
      <c r="E332">
        <v>79.44</v>
      </c>
      <c r="F332" s="12" t="str">
        <f>_xlfn.XLOOKUP(raw_data_23[[#This Row],[Location]],Table2[Shop name],Table2[Category],"OCCATIONAL",0,1)</f>
        <v>GROCERIES</v>
      </c>
    </row>
    <row r="333" spans="1:6" x14ac:dyDescent="0.2">
      <c r="A333" s="7">
        <v>45904</v>
      </c>
      <c r="B333" s="2" t="str">
        <f t="shared" si="5"/>
        <v>September</v>
      </c>
      <c r="C333" s="2" t="s">
        <v>109</v>
      </c>
      <c r="D333" s="2" t="s">
        <v>19</v>
      </c>
      <c r="E333">
        <v>27.99</v>
      </c>
      <c r="F333" s="12" t="str">
        <f>_xlfn.XLOOKUP(raw_data_23[[#This Row],[Location]],Table2[Shop name],Table2[Category],"OCCATIONAL",0,1)</f>
        <v>PHARMACY</v>
      </c>
    </row>
    <row r="334" spans="1:6" x14ac:dyDescent="0.2">
      <c r="A334" s="7">
        <v>45905</v>
      </c>
      <c r="B334" s="2" t="str">
        <f t="shared" si="5"/>
        <v>September</v>
      </c>
      <c r="C334" s="2" t="s">
        <v>51</v>
      </c>
      <c r="D334" s="2" t="s">
        <v>19</v>
      </c>
      <c r="E334">
        <v>431.8</v>
      </c>
      <c r="F334" s="12" t="str">
        <f>_xlfn.XLOOKUP(raw_data_23[[#This Row],[Location]],Table2[Shop name],Table2[Category],"OCCATIONAL",0,1)</f>
        <v>GROCERIES</v>
      </c>
    </row>
    <row r="335" spans="1:6" x14ac:dyDescent="0.2">
      <c r="A335" s="7">
        <v>45905</v>
      </c>
      <c r="B335" s="2" t="str">
        <f t="shared" si="5"/>
        <v>September</v>
      </c>
      <c r="C335" s="2" t="s">
        <v>31</v>
      </c>
      <c r="D335" s="2" t="s">
        <v>9</v>
      </c>
      <c r="E335">
        <v>57.27</v>
      </c>
      <c r="F335" s="12" t="str">
        <f>_xlfn.XLOOKUP(raw_data_23[[#This Row],[Location]],Table2[Shop name],Table2[Category],"OCCATIONAL",0,1)</f>
        <v>FOOD DELIVERY</v>
      </c>
    </row>
    <row r="336" spans="1:6" x14ac:dyDescent="0.2">
      <c r="A336" s="7">
        <v>45905</v>
      </c>
      <c r="B336" s="2" t="str">
        <f t="shared" si="5"/>
        <v>September</v>
      </c>
      <c r="C336" s="2" t="s">
        <v>31</v>
      </c>
      <c r="D336" s="2" t="s">
        <v>9</v>
      </c>
      <c r="E336">
        <v>29.79</v>
      </c>
      <c r="F336" s="12" t="str">
        <f>_xlfn.XLOOKUP(raw_data_23[[#This Row],[Location]],Table2[Shop name],Table2[Category],"OCCATIONAL",0,1)</f>
        <v>FOOD DELIVERY</v>
      </c>
    </row>
    <row r="337" spans="1:6" x14ac:dyDescent="0.2">
      <c r="A337" s="7">
        <v>45905</v>
      </c>
      <c r="B337" s="2" t="str">
        <f t="shared" si="5"/>
        <v>September</v>
      </c>
      <c r="C337" s="2" t="s">
        <v>37</v>
      </c>
      <c r="D337" s="2" t="s">
        <v>19</v>
      </c>
      <c r="E337">
        <v>69.989999999999995</v>
      </c>
      <c r="F337" s="12" t="str">
        <f>_xlfn.XLOOKUP(raw_data_23[[#This Row],[Location]],Table2[Shop name],Table2[Category],"OCCATIONAL",0,1)</f>
        <v>GROCERIES</v>
      </c>
    </row>
    <row r="338" spans="1:6" x14ac:dyDescent="0.2">
      <c r="A338" s="7">
        <v>45906</v>
      </c>
      <c r="B338" s="2" t="str">
        <f t="shared" si="5"/>
        <v>September</v>
      </c>
      <c r="C338" s="2" t="s">
        <v>117</v>
      </c>
      <c r="D338" s="2" t="s">
        <v>19</v>
      </c>
      <c r="E338">
        <v>34</v>
      </c>
      <c r="F338" s="12" t="str">
        <f>_xlfn.XLOOKUP(raw_data_23[[#This Row],[Location]],Table2[Shop name],Table2[Category],"OCCATIONAL",0,1)</f>
        <v>FOOD</v>
      </c>
    </row>
    <row r="339" spans="1:6" x14ac:dyDescent="0.2">
      <c r="A339" s="7">
        <v>45906</v>
      </c>
      <c r="B339" s="2" t="str">
        <f t="shared" si="5"/>
        <v>September</v>
      </c>
      <c r="C339" s="2" t="s">
        <v>105</v>
      </c>
      <c r="D339" s="2" t="s">
        <v>19</v>
      </c>
      <c r="E339">
        <v>61.97</v>
      </c>
      <c r="F339" s="12" t="str">
        <f>_xlfn.XLOOKUP(raw_data_23[[#This Row],[Location]],Table2[Shop name],Table2[Category],"OCCATIONAL",0,1)</f>
        <v>HOME NEEDS</v>
      </c>
    </row>
    <row r="340" spans="1:6" x14ac:dyDescent="0.2">
      <c r="A340" s="7">
        <v>45906</v>
      </c>
      <c r="B340" s="2" t="str">
        <f t="shared" si="5"/>
        <v>September</v>
      </c>
      <c r="C340" s="2" t="s">
        <v>146</v>
      </c>
      <c r="D340" s="2" t="s">
        <v>19</v>
      </c>
      <c r="E340">
        <v>175.85</v>
      </c>
      <c r="F340" s="12" t="str">
        <f>_xlfn.XLOOKUP(raw_data_23[[#This Row],[Location]],Table2[Shop name],Table2[Category],"OCCATIONAL",0,1)</f>
        <v>GROCERIES</v>
      </c>
    </row>
    <row r="341" spans="1:6" x14ac:dyDescent="0.2">
      <c r="A341" s="7">
        <v>45906</v>
      </c>
      <c r="B341" s="2" t="str">
        <f t="shared" si="5"/>
        <v>September</v>
      </c>
      <c r="C341" s="2" t="s">
        <v>146</v>
      </c>
      <c r="D341" s="2" t="s">
        <v>19</v>
      </c>
      <c r="E341">
        <v>50.79</v>
      </c>
      <c r="F341" s="12" t="str">
        <f>_xlfn.XLOOKUP(raw_data_23[[#This Row],[Location]],Table2[Shop name],Table2[Category],"OCCATIONAL",0,1)</f>
        <v>GROCERIES</v>
      </c>
    </row>
    <row r="342" spans="1:6" x14ac:dyDescent="0.2">
      <c r="A342" s="7">
        <v>45906</v>
      </c>
      <c r="B342" s="2" t="str">
        <f t="shared" si="5"/>
        <v>September</v>
      </c>
      <c r="C342" s="2" t="s">
        <v>13</v>
      </c>
      <c r="D342" s="2" t="s">
        <v>19</v>
      </c>
      <c r="E342">
        <v>16</v>
      </c>
      <c r="F342" s="12" t="str">
        <f>_xlfn.XLOOKUP(raw_data_23[[#This Row],[Location]],Table2[Shop name],Table2[Category],"OCCATIONAL",0,1)</f>
        <v>ONLINE ORDERS</v>
      </c>
    </row>
    <row r="343" spans="1:6" x14ac:dyDescent="0.2">
      <c r="A343" s="7">
        <v>45906</v>
      </c>
      <c r="B343" s="2" t="str">
        <f t="shared" si="5"/>
        <v>September</v>
      </c>
      <c r="C343" s="2" t="s">
        <v>103</v>
      </c>
      <c r="D343" s="2" t="s">
        <v>19</v>
      </c>
      <c r="E343">
        <v>38.32</v>
      </c>
      <c r="F343" s="12" t="str">
        <f>_xlfn.XLOOKUP(raw_data_23[[#This Row],[Location]],Table2[Shop name],Table2[Category],"OCCATIONAL",0,1)</f>
        <v>PHARMACY</v>
      </c>
    </row>
    <row r="344" spans="1:6" x14ac:dyDescent="0.2">
      <c r="A344" s="7">
        <v>45906</v>
      </c>
      <c r="B344" s="2" t="str">
        <f t="shared" si="5"/>
        <v>September</v>
      </c>
      <c r="C344" s="2" t="s">
        <v>40</v>
      </c>
      <c r="D344" s="2" t="s">
        <v>19</v>
      </c>
      <c r="E344">
        <v>50</v>
      </c>
      <c r="F344" s="12" t="str">
        <f>_xlfn.XLOOKUP(raw_data_23[[#This Row],[Location]],Table2[Shop name],Table2[Category],"OCCATIONAL",0,1)</f>
        <v>GROCERIES</v>
      </c>
    </row>
    <row r="345" spans="1:6" x14ac:dyDescent="0.2">
      <c r="A345" s="7">
        <v>45906</v>
      </c>
      <c r="B345" s="2" t="str">
        <f t="shared" si="5"/>
        <v>September</v>
      </c>
      <c r="C345" s="2" t="s">
        <v>44</v>
      </c>
      <c r="D345" s="2" t="s">
        <v>19</v>
      </c>
      <c r="E345">
        <v>25.8</v>
      </c>
      <c r="F345" s="12" t="str">
        <f>_xlfn.XLOOKUP(raw_data_23[[#This Row],[Location]],Table2[Shop name],Table2[Category],"OCCATIONAL",0,1)</f>
        <v>OCCATIONAL</v>
      </c>
    </row>
    <row r="346" spans="1:6" x14ac:dyDescent="0.2">
      <c r="A346" s="7">
        <v>45906</v>
      </c>
      <c r="B346" s="2" t="str">
        <f t="shared" si="5"/>
        <v>September</v>
      </c>
      <c r="C346" s="2" t="s">
        <v>70</v>
      </c>
      <c r="D346" s="2" t="s">
        <v>19</v>
      </c>
      <c r="E346">
        <v>76.400000000000006</v>
      </c>
      <c r="F346" s="12" t="str">
        <f>_xlfn.XLOOKUP(raw_data_23[[#This Row],[Location]],Table2[Shop name],Table2[Category],"OCCATIONAL",0,1)</f>
        <v>GROCERIES</v>
      </c>
    </row>
    <row r="347" spans="1:6" x14ac:dyDescent="0.2">
      <c r="A347" s="7">
        <v>45906</v>
      </c>
      <c r="B347" s="2" t="str">
        <f t="shared" si="5"/>
        <v>September</v>
      </c>
      <c r="C347" s="2" t="s">
        <v>47</v>
      </c>
      <c r="D347" s="2" t="s">
        <v>19</v>
      </c>
      <c r="E347">
        <v>12.59</v>
      </c>
      <c r="F347" s="12" t="str">
        <f>_xlfn.XLOOKUP(raw_data_23[[#This Row],[Location]],Table2[Shop name],Table2[Category],"OCCATIONAL",0,1)</f>
        <v>GROCERIES</v>
      </c>
    </row>
    <row r="348" spans="1:6" x14ac:dyDescent="0.2">
      <c r="A348" s="7">
        <v>45906</v>
      </c>
      <c r="B348" s="2" t="str">
        <f t="shared" si="5"/>
        <v>September</v>
      </c>
      <c r="C348" s="2" t="s">
        <v>37</v>
      </c>
      <c r="D348" s="2" t="s">
        <v>19</v>
      </c>
      <c r="E348">
        <v>1.99</v>
      </c>
      <c r="F348" s="12" t="str">
        <f>_xlfn.XLOOKUP(raw_data_23[[#This Row],[Location]],Table2[Shop name],Table2[Category],"OCCATIONAL",0,1)</f>
        <v>GROCERIES</v>
      </c>
    </row>
    <row r="349" spans="1:6" x14ac:dyDescent="0.2">
      <c r="A349" s="7">
        <v>45906</v>
      </c>
      <c r="B349" s="2" t="str">
        <f t="shared" si="5"/>
        <v>September</v>
      </c>
      <c r="C349" s="2" t="s">
        <v>92</v>
      </c>
      <c r="D349" s="2" t="s">
        <v>19</v>
      </c>
      <c r="E349">
        <v>63.5</v>
      </c>
      <c r="F349" s="12" t="str">
        <f>_xlfn.XLOOKUP(raw_data_23[[#This Row],[Location]],Table2[Shop name],Table2[Category],"OCCATIONAL",0,1)</f>
        <v>HOME NEEDS</v>
      </c>
    </row>
    <row r="350" spans="1:6" x14ac:dyDescent="0.2">
      <c r="A350" s="7">
        <v>45907</v>
      </c>
      <c r="B350" s="2" t="str">
        <f t="shared" si="5"/>
        <v>September</v>
      </c>
      <c r="C350" s="2" t="s">
        <v>159</v>
      </c>
      <c r="D350" s="2" t="s">
        <v>19</v>
      </c>
      <c r="E350">
        <v>42</v>
      </c>
      <c r="F350" s="12" t="str">
        <f>_xlfn.XLOOKUP(raw_data_23[[#This Row],[Location]],Table2[Shop name],Table2[Category],"OCCATIONAL",0,1)</f>
        <v>COFFEE SHOP</v>
      </c>
    </row>
    <row r="351" spans="1:6" x14ac:dyDescent="0.2">
      <c r="A351" s="7">
        <v>45907</v>
      </c>
      <c r="B351" s="2" t="str">
        <f t="shared" si="5"/>
        <v>September</v>
      </c>
      <c r="C351" s="2" t="s">
        <v>159</v>
      </c>
      <c r="D351" s="2" t="s">
        <v>19</v>
      </c>
      <c r="E351">
        <v>14</v>
      </c>
      <c r="F351" s="12" t="str">
        <f>_xlfn.XLOOKUP(raw_data_23[[#This Row],[Location]],Table2[Shop name],Table2[Category],"OCCATIONAL",0,1)</f>
        <v>COFFEE SHOP</v>
      </c>
    </row>
    <row r="352" spans="1:6" x14ac:dyDescent="0.2">
      <c r="A352" s="7">
        <v>45908</v>
      </c>
      <c r="B352" s="2" t="str">
        <f t="shared" si="5"/>
        <v>September</v>
      </c>
      <c r="C352" s="2" t="s">
        <v>7</v>
      </c>
      <c r="D352" s="2" t="s">
        <v>19</v>
      </c>
      <c r="E352">
        <v>12</v>
      </c>
      <c r="F352" s="12" t="str">
        <f>_xlfn.XLOOKUP(raw_data_23[[#This Row],[Location]],Table2[Shop name],Table2[Category],"OCCATIONAL",0,1)</f>
        <v>OCCATIONAL</v>
      </c>
    </row>
    <row r="353" spans="1:6" x14ac:dyDescent="0.2">
      <c r="A353" s="7">
        <v>45908</v>
      </c>
      <c r="B353" s="2" t="str">
        <f t="shared" si="5"/>
        <v>September</v>
      </c>
      <c r="C353" s="2" t="s">
        <v>150</v>
      </c>
      <c r="D353" s="2" t="s">
        <v>19</v>
      </c>
      <c r="E353">
        <v>6.99</v>
      </c>
      <c r="F353" s="12" t="str">
        <f>_xlfn.XLOOKUP(raw_data_23[[#This Row],[Location]],Table2[Shop name],Table2[Category],"OCCATIONAL",0,1)</f>
        <v>OCCATIONAL</v>
      </c>
    </row>
    <row r="354" spans="1:6" x14ac:dyDescent="0.2">
      <c r="A354" s="7">
        <v>45908</v>
      </c>
      <c r="B354" s="2" t="str">
        <f t="shared" si="5"/>
        <v>September</v>
      </c>
      <c r="C354" s="2" t="s">
        <v>21</v>
      </c>
      <c r="D354" s="2" t="s">
        <v>19</v>
      </c>
      <c r="E354">
        <v>20</v>
      </c>
      <c r="F354" s="12" t="str">
        <f>_xlfn.XLOOKUP(raw_data_23[[#This Row],[Location]],Table2[Shop name],Table2[Category],"OCCATIONAL",0,1)</f>
        <v>TRAVEL</v>
      </c>
    </row>
    <row r="355" spans="1:6" x14ac:dyDescent="0.2">
      <c r="A355" s="7">
        <v>45908</v>
      </c>
      <c r="B355" s="2" t="str">
        <f t="shared" si="5"/>
        <v>September</v>
      </c>
      <c r="C355" s="2" t="s">
        <v>160</v>
      </c>
      <c r="D355" s="2" t="s">
        <v>19</v>
      </c>
      <c r="E355">
        <v>9.49</v>
      </c>
      <c r="F355" s="12" t="str">
        <f>_xlfn.XLOOKUP(raw_data_23[[#This Row],[Location]],Table2[Shop name],Table2[Category],"OCCATIONAL",0,1)</f>
        <v>COFFEE SHOP</v>
      </c>
    </row>
    <row r="356" spans="1:6" x14ac:dyDescent="0.2">
      <c r="A356" s="7">
        <v>45909</v>
      </c>
      <c r="B356" s="2" t="str">
        <f t="shared" si="5"/>
        <v>September</v>
      </c>
      <c r="C356" s="2" t="s">
        <v>148</v>
      </c>
      <c r="D356" s="2" t="s">
        <v>19</v>
      </c>
      <c r="E356">
        <v>12.99</v>
      </c>
      <c r="F356" s="12" t="str">
        <f>_xlfn.XLOOKUP(raw_data_23[[#This Row],[Location]],Table2[Shop name],Table2[Category],"OCCATIONAL",0,1)</f>
        <v>GROCERIES</v>
      </c>
    </row>
    <row r="357" spans="1:6" x14ac:dyDescent="0.2">
      <c r="A357" s="7">
        <v>45910</v>
      </c>
      <c r="B357" s="2" t="str">
        <f t="shared" si="5"/>
        <v>September</v>
      </c>
      <c r="C357" s="2" t="s">
        <v>51</v>
      </c>
      <c r="D357" s="2" t="s">
        <v>19</v>
      </c>
      <c r="E357">
        <v>57.21</v>
      </c>
      <c r="F357" s="12" t="str">
        <f>_xlfn.XLOOKUP(raw_data_23[[#This Row],[Location]],Table2[Shop name],Table2[Category],"OCCATIONAL",0,1)</f>
        <v>GROCERIES</v>
      </c>
    </row>
    <row r="358" spans="1:6" x14ac:dyDescent="0.2">
      <c r="A358" s="7">
        <v>45910</v>
      </c>
      <c r="B358" s="2" t="str">
        <f t="shared" si="5"/>
        <v>September</v>
      </c>
      <c r="C358" s="2" t="s">
        <v>30</v>
      </c>
      <c r="D358" s="2" t="s">
        <v>9</v>
      </c>
      <c r="E358">
        <v>12.99</v>
      </c>
      <c r="F358" s="12" t="str">
        <f>_xlfn.XLOOKUP(raw_data_23[[#This Row],[Location]],Table2[Shop name],Table2[Category],"OCCATIONAL",0,1)</f>
        <v>TRAVEL</v>
      </c>
    </row>
    <row r="359" spans="1:6" x14ac:dyDescent="0.2">
      <c r="A359" s="7">
        <v>45911</v>
      </c>
      <c r="B359" s="2" t="str">
        <f t="shared" si="5"/>
        <v>September</v>
      </c>
      <c r="C359" s="2" t="s">
        <v>37</v>
      </c>
      <c r="D359" s="2" t="s">
        <v>19</v>
      </c>
      <c r="E359">
        <v>28.93</v>
      </c>
      <c r="F359" s="12" t="str">
        <f>_xlfn.XLOOKUP(raw_data_23[[#This Row],[Location]],Table2[Shop name],Table2[Category],"OCCATIONAL",0,1)</f>
        <v>GROCERIES</v>
      </c>
    </row>
    <row r="360" spans="1:6" x14ac:dyDescent="0.2">
      <c r="A360" s="7">
        <v>45912</v>
      </c>
      <c r="B360" s="2" t="str">
        <f t="shared" si="5"/>
        <v>September</v>
      </c>
      <c r="C360" s="2" t="s">
        <v>31</v>
      </c>
      <c r="D360" s="2" t="s">
        <v>9</v>
      </c>
      <c r="E360">
        <v>75.56</v>
      </c>
      <c r="F360" s="12" t="str">
        <f>_xlfn.XLOOKUP(raw_data_23[[#This Row],[Location]],Table2[Shop name],Table2[Category],"OCCATIONAL",0,1)</f>
        <v>FOOD DELIVERY</v>
      </c>
    </row>
    <row r="361" spans="1:6" x14ac:dyDescent="0.2">
      <c r="A361" s="7">
        <v>45913</v>
      </c>
      <c r="B361" s="2" t="str">
        <f t="shared" si="5"/>
        <v>September</v>
      </c>
      <c r="C361" s="2" t="s">
        <v>51</v>
      </c>
      <c r="D361" s="2" t="s">
        <v>19</v>
      </c>
      <c r="E361">
        <v>284.33</v>
      </c>
      <c r="F361" s="12" t="str">
        <f>_xlfn.XLOOKUP(raw_data_23[[#This Row],[Location]],Table2[Shop name],Table2[Category],"OCCATIONAL",0,1)</f>
        <v>GROCERIES</v>
      </c>
    </row>
    <row r="362" spans="1:6" x14ac:dyDescent="0.2">
      <c r="A362" s="7">
        <v>45913</v>
      </c>
      <c r="B362" s="2" t="str">
        <f t="shared" si="5"/>
        <v>September</v>
      </c>
      <c r="C362" s="2" t="s">
        <v>21</v>
      </c>
      <c r="D362" s="2" t="s">
        <v>19</v>
      </c>
      <c r="E362">
        <v>20</v>
      </c>
      <c r="F362" s="12" t="str">
        <f>_xlfn.XLOOKUP(raw_data_23[[#This Row],[Location]],Table2[Shop name],Table2[Category],"OCCATIONAL",0,1)</f>
        <v>TRAVEL</v>
      </c>
    </row>
    <row r="363" spans="1:6" x14ac:dyDescent="0.2">
      <c r="A363" s="7">
        <v>45913</v>
      </c>
      <c r="B363" s="2" t="str">
        <f t="shared" si="5"/>
        <v>September</v>
      </c>
      <c r="C363" s="2" t="s">
        <v>118</v>
      </c>
      <c r="D363" s="2" t="s">
        <v>19</v>
      </c>
      <c r="E363">
        <v>46.6</v>
      </c>
      <c r="F363" s="12" t="str">
        <f>_xlfn.XLOOKUP(raw_data_23[[#This Row],[Location]],Table2[Shop name],Table2[Category],"OCCATIONAL",0,1)</f>
        <v>COFFEE SHOP</v>
      </c>
    </row>
    <row r="364" spans="1:6" x14ac:dyDescent="0.2">
      <c r="A364" s="7">
        <v>45913</v>
      </c>
      <c r="B364" s="2" t="str">
        <f t="shared" si="5"/>
        <v>September</v>
      </c>
      <c r="C364" s="2" t="s">
        <v>148</v>
      </c>
      <c r="D364" s="2" t="s">
        <v>19</v>
      </c>
      <c r="E364">
        <v>13.9</v>
      </c>
      <c r="F364" s="12" t="str">
        <f>_xlfn.XLOOKUP(raw_data_23[[#This Row],[Location]],Table2[Shop name],Table2[Category],"OCCATIONAL",0,1)</f>
        <v>GROCERIES</v>
      </c>
    </row>
    <row r="365" spans="1:6" x14ac:dyDescent="0.2">
      <c r="A365" s="7">
        <v>45913</v>
      </c>
      <c r="B365" s="2" t="str">
        <f t="shared" si="5"/>
        <v>September</v>
      </c>
      <c r="C365" s="2" t="s">
        <v>148</v>
      </c>
      <c r="D365" s="2" t="s">
        <v>19</v>
      </c>
      <c r="E365">
        <v>190.95</v>
      </c>
      <c r="F365" s="12" t="str">
        <f>_xlfn.XLOOKUP(raw_data_23[[#This Row],[Location]],Table2[Shop name],Table2[Category],"OCCATIONAL",0,1)</f>
        <v>GROCERIES</v>
      </c>
    </row>
    <row r="366" spans="1:6" x14ac:dyDescent="0.2">
      <c r="A366" s="7">
        <v>45913</v>
      </c>
      <c r="B366" s="2" t="str">
        <f t="shared" si="5"/>
        <v>September</v>
      </c>
      <c r="C366" s="2" t="s">
        <v>119</v>
      </c>
      <c r="D366" s="2" t="s">
        <v>19</v>
      </c>
      <c r="E366">
        <v>23</v>
      </c>
      <c r="F366" s="12" t="str">
        <f>_xlfn.XLOOKUP(raw_data_23[[#This Row],[Location]],Table2[Shop name],Table2[Category],"OCCATIONAL",0,1)</f>
        <v>FOOD</v>
      </c>
    </row>
    <row r="367" spans="1:6" x14ac:dyDescent="0.2">
      <c r="A367" s="7">
        <v>45913</v>
      </c>
      <c r="B367" s="2" t="str">
        <f t="shared" si="5"/>
        <v>September</v>
      </c>
      <c r="C367" s="2" t="s">
        <v>119</v>
      </c>
      <c r="D367" s="2" t="s">
        <v>19</v>
      </c>
      <c r="E367">
        <v>36</v>
      </c>
      <c r="F367" s="12" t="str">
        <f>_xlfn.XLOOKUP(raw_data_23[[#This Row],[Location]],Table2[Shop name],Table2[Category],"OCCATIONAL",0,1)</f>
        <v>FOOD</v>
      </c>
    </row>
    <row r="368" spans="1:6" x14ac:dyDescent="0.2">
      <c r="A368" s="7">
        <v>45914</v>
      </c>
      <c r="B368" s="2" t="str">
        <f t="shared" si="5"/>
        <v>September</v>
      </c>
      <c r="C368" s="2" t="s">
        <v>21</v>
      </c>
      <c r="D368" s="2" t="s">
        <v>19</v>
      </c>
      <c r="E368">
        <v>20</v>
      </c>
      <c r="F368" s="12" t="str">
        <f>_xlfn.XLOOKUP(raw_data_23[[#This Row],[Location]],Table2[Shop name],Table2[Category],"OCCATIONAL",0,1)</f>
        <v>TRAVEL</v>
      </c>
    </row>
    <row r="369" spans="1:6" x14ac:dyDescent="0.2">
      <c r="A369" s="7">
        <v>45914</v>
      </c>
      <c r="B369" s="2" t="str">
        <f t="shared" si="5"/>
        <v>September</v>
      </c>
      <c r="C369" s="2" t="s">
        <v>34</v>
      </c>
      <c r="D369" s="2" t="s">
        <v>4</v>
      </c>
      <c r="E369">
        <v>68.599999999999994</v>
      </c>
      <c r="F369" s="12" t="str">
        <f>_xlfn.XLOOKUP(raw_data_23[[#This Row],[Location]],Table2[Shop name],Table2[Category],"OCCATIONAL",0,1)</f>
        <v>TRAVEL</v>
      </c>
    </row>
    <row r="370" spans="1:6" x14ac:dyDescent="0.2">
      <c r="A370" s="7">
        <v>45914</v>
      </c>
      <c r="B370" s="2" t="str">
        <f t="shared" si="5"/>
        <v>September</v>
      </c>
      <c r="C370" s="2" t="s">
        <v>148</v>
      </c>
      <c r="D370" s="2" t="s">
        <v>19</v>
      </c>
      <c r="E370">
        <v>4.1900000000000004</v>
      </c>
      <c r="F370" s="12" t="str">
        <f>_xlfn.XLOOKUP(raw_data_23[[#This Row],[Location]],Table2[Shop name],Table2[Category],"OCCATIONAL",0,1)</f>
        <v>GROCERIES</v>
      </c>
    </row>
    <row r="371" spans="1:6" x14ac:dyDescent="0.2">
      <c r="A371" s="7">
        <v>45914</v>
      </c>
      <c r="B371" s="2" t="str">
        <f t="shared" si="5"/>
        <v>September</v>
      </c>
      <c r="C371" s="2" t="s">
        <v>38</v>
      </c>
      <c r="D371" s="2" t="s">
        <v>19</v>
      </c>
      <c r="E371">
        <v>5</v>
      </c>
      <c r="F371" s="12" t="str">
        <f>_xlfn.XLOOKUP(raw_data_23[[#This Row],[Location]],Table2[Shop name],Table2[Category],"OCCATIONAL",0,1)</f>
        <v>GROCERIES</v>
      </c>
    </row>
    <row r="372" spans="1:6" x14ac:dyDescent="0.2">
      <c r="A372" s="7">
        <v>45914</v>
      </c>
      <c r="B372" s="2" t="str">
        <f t="shared" si="5"/>
        <v>September</v>
      </c>
      <c r="C372" s="2" t="s">
        <v>38</v>
      </c>
      <c r="D372" s="2" t="s">
        <v>19</v>
      </c>
      <c r="E372">
        <v>10.4</v>
      </c>
      <c r="F372" s="12" t="str">
        <f>_xlfn.XLOOKUP(raw_data_23[[#This Row],[Location]],Table2[Shop name],Table2[Category],"OCCATIONAL",0,1)</f>
        <v>GROCERIES</v>
      </c>
    </row>
    <row r="373" spans="1:6" x14ac:dyDescent="0.2">
      <c r="A373" s="7">
        <v>45915</v>
      </c>
      <c r="B373" s="2" t="str">
        <f t="shared" si="5"/>
        <v>September</v>
      </c>
      <c r="C373" s="2" t="s">
        <v>150</v>
      </c>
      <c r="D373" s="2" t="s">
        <v>19</v>
      </c>
      <c r="E373">
        <v>6.99</v>
      </c>
      <c r="F373" s="12" t="str">
        <f>_xlfn.XLOOKUP(raw_data_23[[#This Row],[Location]],Table2[Shop name],Table2[Category],"OCCATIONAL",0,1)</f>
        <v>OCCATIONAL</v>
      </c>
    </row>
    <row r="374" spans="1:6" x14ac:dyDescent="0.2">
      <c r="A374" s="7">
        <v>45915</v>
      </c>
      <c r="B374" s="2" t="str">
        <f t="shared" si="5"/>
        <v>September</v>
      </c>
      <c r="C374" s="2" t="s">
        <v>21</v>
      </c>
      <c r="D374" s="2" t="s">
        <v>19</v>
      </c>
      <c r="E374">
        <v>50</v>
      </c>
      <c r="F374" s="12" t="str">
        <f>_xlfn.XLOOKUP(raw_data_23[[#This Row],[Location]],Table2[Shop name],Table2[Category],"OCCATIONAL",0,1)</f>
        <v>TRAVEL</v>
      </c>
    </row>
    <row r="375" spans="1:6" x14ac:dyDescent="0.2">
      <c r="A375" s="7">
        <v>45915</v>
      </c>
      <c r="B375" s="2" t="str">
        <f t="shared" si="5"/>
        <v>September</v>
      </c>
      <c r="C375" s="2" t="s">
        <v>31</v>
      </c>
      <c r="D375" s="2" t="s">
        <v>9</v>
      </c>
      <c r="E375">
        <v>75.2</v>
      </c>
      <c r="F375" s="12" t="str">
        <f>_xlfn.XLOOKUP(raw_data_23[[#This Row],[Location]],Table2[Shop name],Table2[Category],"OCCATIONAL",0,1)</f>
        <v>FOOD DELIVERY</v>
      </c>
    </row>
    <row r="376" spans="1:6" x14ac:dyDescent="0.2">
      <c r="A376" s="7">
        <v>45915</v>
      </c>
      <c r="B376" s="2" t="str">
        <f t="shared" si="5"/>
        <v>September</v>
      </c>
      <c r="C376" s="2" t="s">
        <v>148</v>
      </c>
      <c r="D376" s="2" t="s">
        <v>19</v>
      </c>
      <c r="E376">
        <v>18.68</v>
      </c>
      <c r="F376" s="12" t="str">
        <f>_xlfn.XLOOKUP(raw_data_23[[#This Row],[Location]],Table2[Shop name],Table2[Category],"OCCATIONAL",0,1)</f>
        <v>GROCERIES</v>
      </c>
    </row>
    <row r="377" spans="1:6" x14ac:dyDescent="0.2">
      <c r="A377" s="7">
        <v>45915</v>
      </c>
      <c r="B377" s="2" t="str">
        <f t="shared" si="5"/>
        <v>September</v>
      </c>
      <c r="C377" s="2" t="s">
        <v>38</v>
      </c>
      <c r="D377" s="2" t="s">
        <v>19</v>
      </c>
      <c r="E377">
        <v>13.49</v>
      </c>
      <c r="F377" s="12" t="str">
        <f>_xlfn.XLOOKUP(raw_data_23[[#This Row],[Location]],Table2[Shop name],Table2[Category],"OCCATIONAL",0,1)</f>
        <v>GROCERIES</v>
      </c>
    </row>
    <row r="378" spans="1:6" x14ac:dyDescent="0.2">
      <c r="A378" s="7">
        <v>45916</v>
      </c>
      <c r="B378" s="2" t="str">
        <f t="shared" si="5"/>
        <v>September</v>
      </c>
      <c r="C378" s="2" t="s">
        <v>120</v>
      </c>
      <c r="D378" s="2" t="s">
        <v>11</v>
      </c>
      <c r="E378">
        <v>85.2</v>
      </c>
      <c r="F378" s="12" t="str">
        <f>_xlfn.XLOOKUP(raw_data_23[[#This Row],[Location]],Table2[Shop name],Table2[Category],"OCCATIONAL",0,1)</f>
        <v>HOME NEEDS</v>
      </c>
    </row>
    <row r="379" spans="1:6" x14ac:dyDescent="0.2">
      <c r="A379" s="7">
        <v>45916</v>
      </c>
      <c r="B379" s="2" t="str">
        <f t="shared" si="5"/>
        <v>September</v>
      </c>
      <c r="C379" s="2" t="s">
        <v>38</v>
      </c>
      <c r="D379" s="2" t="s">
        <v>19</v>
      </c>
      <c r="E379">
        <v>5</v>
      </c>
      <c r="F379" s="12" t="str">
        <f>_xlfn.XLOOKUP(raw_data_23[[#This Row],[Location]],Table2[Shop name],Table2[Category],"OCCATIONAL",0,1)</f>
        <v>GROCERIES</v>
      </c>
    </row>
    <row r="380" spans="1:6" x14ac:dyDescent="0.2">
      <c r="A380" s="7">
        <v>45916</v>
      </c>
      <c r="B380" s="2" t="str">
        <f t="shared" si="5"/>
        <v>September</v>
      </c>
      <c r="C380" s="2" t="s">
        <v>38</v>
      </c>
      <c r="D380" s="2" t="s">
        <v>19</v>
      </c>
      <c r="E380">
        <v>21.9</v>
      </c>
      <c r="F380" s="12" t="str">
        <f>_xlfn.XLOOKUP(raw_data_23[[#This Row],[Location]],Table2[Shop name],Table2[Category],"OCCATIONAL",0,1)</f>
        <v>GROCERIES</v>
      </c>
    </row>
    <row r="381" spans="1:6" x14ac:dyDescent="0.2">
      <c r="A381" s="7">
        <v>45916</v>
      </c>
      <c r="B381" s="2" t="str">
        <f t="shared" si="5"/>
        <v>September</v>
      </c>
      <c r="C381" s="2" t="s">
        <v>38</v>
      </c>
      <c r="D381" s="2" t="s">
        <v>19</v>
      </c>
      <c r="E381">
        <v>10.4</v>
      </c>
      <c r="F381" s="12" t="str">
        <f>_xlfn.XLOOKUP(raw_data_23[[#This Row],[Location]],Table2[Shop name],Table2[Category],"OCCATIONAL",0,1)</f>
        <v>GROCERIES</v>
      </c>
    </row>
    <row r="382" spans="1:6" x14ac:dyDescent="0.2">
      <c r="A382" s="7">
        <v>45917</v>
      </c>
      <c r="B382" s="2" t="str">
        <f t="shared" si="5"/>
        <v>September</v>
      </c>
      <c r="C382" s="2" t="s">
        <v>121</v>
      </c>
      <c r="D382" s="2" t="s">
        <v>19</v>
      </c>
      <c r="E382">
        <v>17.989999999999998</v>
      </c>
      <c r="F382" s="12" t="str">
        <f>_xlfn.XLOOKUP(raw_data_23[[#This Row],[Location]],Table2[Shop name],Table2[Category],"OCCATIONAL",0,1)</f>
        <v>PHARMACY</v>
      </c>
    </row>
    <row r="383" spans="1:6" x14ac:dyDescent="0.2">
      <c r="A383" s="7">
        <v>45917</v>
      </c>
      <c r="B383" s="2" t="str">
        <f t="shared" si="5"/>
        <v>September</v>
      </c>
      <c r="C383" s="2" t="s">
        <v>121</v>
      </c>
      <c r="D383" s="2" t="s">
        <v>19</v>
      </c>
      <c r="E383">
        <v>39.99</v>
      </c>
      <c r="F383" s="12" t="str">
        <f>_xlfn.XLOOKUP(raw_data_23[[#This Row],[Location]],Table2[Shop name],Table2[Category],"OCCATIONAL",0,1)</f>
        <v>PHARMACY</v>
      </c>
    </row>
    <row r="384" spans="1:6" x14ac:dyDescent="0.2">
      <c r="A384" s="7">
        <v>45917</v>
      </c>
      <c r="B384" s="2" t="str">
        <f t="shared" si="5"/>
        <v>September</v>
      </c>
      <c r="C384" s="2" t="s">
        <v>31</v>
      </c>
      <c r="D384" s="2" t="s">
        <v>9</v>
      </c>
      <c r="E384">
        <v>33</v>
      </c>
      <c r="F384" s="12" t="str">
        <f>_xlfn.XLOOKUP(raw_data_23[[#This Row],[Location]],Table2[Shop name],Table2[Category],"OCCATIONAL",0,1)</f>
        <v>FOOD DELIVERY</v>
      </c>
    </row>
    <row r="385" spans="1:6" x14ac:dyDescent="0.2">
      <c r="A385" s="7">
        <v>45917</v>
      </c>
      <c r="B385" s="2" t="str">
        <f t="shared" si="5"/>
        <v>September</v>
      </c>
      <c r="C385" s="2" t="s">
        <v>31</v>
      </c>
      <c r="D385" s="2" t="s">
        <v>9</v>
      </c>
      <c r="E385">
        <v>59.4</v>
      </c>
      <c r="F385" s="12" t="str">
        <f>_xlfn.XLOOKUP(raw_data_23[[#This Row],[Location]],Table2[Shop name],Table2[Category],"OCCATIONAL",0,1)</f>
        <v>FOOD DELIVERY</v>
      </c>
    </row>
    <row r="386" spans="1:6" x14ac:dyDescent="0.2">
      <c r="A386" s="7">
        <v>45917</v>
      </c>
      <c r="B386" s="2" t="str">
        <f t="shared" ref="B386:B449" si="6">TEXT(A386,"mmmm")</f>
        <v>September</v>
      </c>
      <c r="C386" s="2" t="s">
        <v>118</v>
      </c>
      <c r="D386" s="2" t="s">
        <v>19</v>
      </c>
      <c r="E386">
        <v>60.8</v>
      </c>
      <c r="F386" s="12" t="str">
        <f>_xlfn.XLOOKUP(raw_data_23[[#This Row],[Location]],Table2[Shop name],Table2[Category],"OCCATIONAL",0,1)</f>
        <v>COFFEE SHOP</v>
      </c>
    </row>
    <row r="387" spans="1:6" x14ac:dyDescent="0.2">
      <c r="A387" s="7">
        <v>45917</v>
      </c>
      <c r="B387" s="2" t="str">
        <f t="shared" si="6"/>
        <v>September</v>
      </c>
      <c r="C387" s="2" t="s">
        <v>122</v>
      </c>
      <c r="D387" s="2" t="s">
        <v>19</v>
      </c>
      <c r="E387">
        <v>19.989999999999998</v>
      </c>
      <c r="F387" s="12" t="str">
        <f>_xlfn.XLOOKUP(raw_data_23[[#This Row],[Location]],Table2[Shop name],Table2[Category],"OCCATIONAL",0,1)</f>
        <v>TRAVEL</v>
      </c>
    </row>
    <row r="388" spans="1:6" x14ac:dyDescent="0.2">
      <c r="A388" s="7">
        <v>45917</v>
      </c>
      <c r="B388" s="2" t="str">
        <f t="shared" si="6"/>
        <v>September</v>
      </c>
      <c r="C388" s="2" t="s">
        <v>88</v>
      </c>
      <c r="D388" s="2" t="s">
        <v>19</v>
      </c>
      <c r="E388">
        <v>177</v>
      </c>
      <c r="F388" s="12" t="str">
        <f>_xlfn.XLOOKUP(raw_data_23[[#This Row],[Location]],Table2[Shop name],Table2[Category],"OCCATIONAL",0,1)</f>
        <v>OCCATIONAL</v>
      </c>
    </row>
    <row r="389" spans="1:6" x14ac:dyDescent="0.2">
      <c r="A389" s="7">
        <v>45917</v>
      </c>
      <c r="B389" s="2" t="str">
        <f t="shared" si="6"/>
        <v>September</v>
      </c>
      <c r="C389" s="2" t="s">
        <v>38</v>
      </c>
      <c r="D389" s="2" t="s">
        <v>19</v>
      </c>
      <c r="E389">
        <v>7.8</v>
      </c>
      <c r="F389" s="12" t="str">
        <f>_xlfn.XLOOKUP(raw_data_23[[#This Row],[Location]],Table2[Shop name],Table2[Category],"OCCATIONAL",0,1)</f>
        <v>GROCERIES</v>
      </c>
    </row>
    <row r="390" spans="1:6" x14ac:dyDescent="0.2">
      <c r="A390" s="7">
        <v>45918</v>
      </c>
      <c r="B390" s="2" t="str">
        <f t="shared" si="6"/>
        <v>September</v>
      </c>
      <c r="C390" s="2" t="s">
        <v>51</v>
      </c>
      <c r="D390" s="2" t="s">
        <v>19</v>
      </c>
      <c r="E390">
        <v>13.98</v>
      </c>
      <c r="F390" s="12" t="str">
        <f>_xlfn.XLOOKUP(raw_data_23[[#This Row],[Location]],Table2[Shop name],Table2[Category],"OCCATIONAL",0,1)</f>
        <v>GROCERIES</v>
      </c>
    </row>
    <row r="391" spans="1:6" x14ac:dyDescent="0.2">
      <c r="A391" s="7">
        <v>45918</v>
      </c>
      <c r="B391" s="2" t="str">
        <f t="shared" si="6"/>
        <v>September</v>
      </c>
      <c r="C391" s="2" t="s">
        <v>109</v>
      </c>
      <c r="D391" s="2" t="s">
        <v>19</v>
      </c>
      <c r="E391">
        <v>34.99</v>
      </c>
      <c r="F391" s="12" t="str">
        <f>_xlfn.XLOOKUP(raw_data_23[[#This Row],[Location]],Table2[Shop name],Table2[Category],"OCCATIONAL",0,1)</f>
        <v>PHARMACY</v>
      </c>
    </row>
    <row r="392" spans="1:6" x14ac:dyDescent="0.2">
      <c r="A392" s="7">
        <v>45918</v>
      </c>
      <c r="B392" s="2" t="str">
        <f t="shared" si="6"/>
        <v>September</v>
      </c>
      <c r="C392" s="2" t="s">
        <v>56</v>
      </c>
      <c r="D392" s="2" t="s">
        <v>19</v>
      </c>
      <c r="E392">
        <v>41.26</v>
      </c>
      <c r="F392" s="12" t="str">
        <f>_xlfn.XLOOKUP(raw_data_23[[#This Row],[Location]],Table2[Shop name],Table2[Category],"OCCATIONAL",0,1)</f>
        <v>HOME NEEDS</v>
      </c>
    </row>
    <row r="393" spans="1:6" x14ac:dyDescent="0.2">
      <c r="A393" s="7">
        <v>45918</v>
      </c>
      <c r="B393" s="2" t="str">
        <f t="shared" si="6"/>
        <v>September</v>
      </c>
      <c r="C393" s="2" t="s">
        <v>20</v>
      </c>
      <c r="D393" s="2" t="s">
        <v>19</v>
      </c>
      <c r="E393">
        <v>69.58</v>
      </c>
      <c r="F393" s="12" t="str">
        <f>_xlfn.XLOOKUP(raw_data_23[[#This Row],[Location]],Table2[Shop name],Table2[Category],"OCCATIONAL",0,1)</f>
        <v>ONLINE ORDERS</v>
      </c>
    </row>
    <row r="394" spans="1:6" x14ac:dyDescent="0.2">
      <c r="A394" s="7">
        <v>45918</v>
      </c>
      <c r="B394" s="2" t="str">
        <f t="shared" si="6"/>
        <v>September</v>
      </c>
      <c r="C394" s="2" t="s">
        <v>31</v>
      </c>
      <c r="D394" s="2" t="s">
        <v>9</v>
      </c>
      <c r="E394">
        <v>27.45</v>
      </c>
      <c r="F394" s="12" t="str">
        <f>_xlfn.XLOOKUP(raw_data_23[[#This Row],[Location]],Table2[Shop name],Table2[Category],"OCCATIONAL",0,1)</f>
        <v>FOOD DELIVERY</v>
      </c>
    </row>
    <row r="395" spans="1:6" x14ac:dyDescent="0.2">
      <c r="A395" s="7">
        <v>45918</v>
      </c>
      <c r="B395" s="2" t="str">
        <f t="shared" si="6"/>
        <v>September</v>
      </c>
      <c r="C395" s="2" t="s">
        <v>31</v>
      </c>
      <c r="D395" s="2" t="s">
        <v>9</v>
      </c>
      <c r="E395">
        <v>44.55</v>
      </c>
      <c r="F395" s="12" t="str">
        <f>_xlfn.XLOOKUP(raw_data_23[[#This Row],[Location]],Table2[Shop name],Table2[Category],"OCCATIONAL",0,1)</f>
        <v>FOOD DELIVERY</v>
      </c>
    </row>
    <row r="396" spans="1:6" x14ac:dyDescent="0.2">
      <c r="A396" s="7">
        <v>45918</v>
      </c>
      <c r="B396" s="2" t="str">
        <f t="shared" si="6"/>
        <v>September</v>
      </c>
      <c r="C396" s="2" t="s">
        <v>53</v>
      </c>
      <c r="D396" s="2" t="s">
        <v>19</v>
      </c>
      <c r="E396">
        <v>80.94</v>
      </c>
      <c r="F396" s="12" t="str">
        <f>_xlfn.XLOOKUP(raw_data_23[[#This Row],[Location]],Table2[Shop name],Table2[Category],"OCCATIONAL",0,1)</f>
        <v>HOME NEEDS</v>
      </c>
    </row>
    <row r="397" spans="1:6" x14ac:dyDescent="0.2">
      <c r="A397" s="7">
        <v>45919</v>
      </c>
      <c r="B397" s="2" t="str">
        <f t="shared" si="6"/>
        <v>September</v>
      </c>
      <c r="C397" s="2" t="s">
        <v>51</v>
      </c>
      <c r="D397" s="2" t="s">
        <v>19</v>
      </c>
      <c r="E397">
        <v>174.68</v>
      </c>
      <c r="F397" s="12" t="str">
        <f>_xlfn.XLOOKUP(raw_data_23[[#This Row],[Location]],Table2[Shop name],Table2[Category],"OCCATIONAL",0,1)</f>
        <v>GROCERIES</v>
      </c>
    </row>
    <row r="398" spans="1:6" x14ac:dyDescent="0.2">
      <c r="A398" s="7">
        <v>45919</v>
      </c>
      <c r="B398" s="2" t="str">
        <f t="shared" si="6"/>
        <v>September</v>
      </c>
      <c r="C398" s="2" t="s">
        <v>31</v>
      </c>
      <c r="D398" s="2" t="s">
        <v>9</v>
      </c>
      <c r="E398">
        <v>98.59</v>
      </c>
      <c r="F398" s="12" t="str">
        <f>_xlfn.XLOOKUP(raw_data_23[[#This Row],[Location]],Table2[Shop name],Table2[Category],"OCCATIONAL",0,1)</f>
        <v>FOOD DELIVERY</v>
      </c>
    </row>
    <row r="399" spans="1:6" x14ac:dyDescent="0.2">
      <c r="A399" s="7">
        <v>45920</v>
      </c>
      <c r="B399" s="2" t="str">
        <f t="shared" si="6"/>
        <v>September</v>
      </c>
      <c r="C399" s="2" t="s">
        <v>123</v>
      </c>
      <c r="D399" s="2" t="s">
        <v>19</v>
      </c>
      <c r="E399">
        <v>34.9</v>
      </c>
      <c r="F399" s="12" t="str">
        <f>_xlfn.XLOOKUP(raw_data_23[[#This Row],[Location]],Table2[Shop name],Table2[Category],"OCCATIONAL",0,1)</f>
        <v>FOOD</v>
      </c>
    </row>
    <row r="400" spans="1:6" x14ac:dyDescent="0.2">
      <c r="A400" s="7">
        <v>45920</v>
      </c>
      <c r="B400" s="2" t="str">
        <f t="shared" si="6"/>
        <v>September</v>
      </c>
      <c r="C400" s="2" t="s">
        <v>40</v>
      </c>
      <c r="D400" s="2" t="s">
        <v>19</v>
      </c>
      <c r="E400">
        <v>70</v>
      </c>
      <c r="F400" s="12" t="str">
        <f>_xlfn.XLOOKUP(raw_data_23[[#This Row],[Location]],Table2[Shop name],Table2[Category],"OCCATIONAL",0,1)</f>
        <v>GROCERIES</v>
      </c>
    </row>
    <row r="401" spans="1:6" x14ac:dyDescent="0.2">
      <c r="A401" s="7">
        <v>45920</v>
      </c>
      <c r="B401" s="2" t="str">
        <f t="shared" si="6"/>
        <v>September</v>
      </c>
      <c r="C401" s="2" t="s">
        <v>151</v>
      </c>
      <c r="D401" s="2" t="s">
        <v>19</v>
      </c>
      <c r="E401">
        <v>69.989999999999995</v>
      </c>
      <c r="F401" s="12" t="str">
        <f>_xlfn.XLOOKUP(raw_data_23[[#This Row],[Location]],Table2[Shop name],Table2[Category],"OCCATIONAL",0,1)</f>
        <v>OCCATIONAL</v>
      </c>
    </row>
    <row r="402" spans="1:6" x14ac:dyDescent="0.2">
      <c r="A402" s="7">
        <v>45920</v>
      </c>
      <c r="B402" s="2" t="str">
        <f t="shared" si="6"/>
        <v>September</v>
      </c>
      <c r="C402" s="2" t="s">
        <v>74</v>
      </c>
      <c r="D402" s="2" t="s">
        <v>19</v>
      </c>
      <c r="E402">
        <v>193.94</v>
      </c>
      <c r="F402" s="12" t="str">
        <f>_xlfn.XLOOKUP(raw_data_23[[#This Row],[Location]],Table2[Shop name],Table2[Category],"OCCATIONAL",0,1)</f>
        <v>CLOTHING</v>
      </c>
    </row>
    <row r="403" spans="1:6" x14ac:dyDescent="0.2">
      <c r="A403" s="7">
        <v>45920</v>
      </c>
      <c r="B403" s="2" t="str">
        <f t="shared" si="6"/>
        <v>September</v>
      </c>
      <c r="C403" s="2" t="s">
        <v>124</v>
      </c>
      <c r="D403" s="2" t="s">
        <v>19</v>
      </c>
      <c r="E403">
        <v>68.59</v>
      </c>
      <c r="F403" s="12" t="str">
        <f>_xlfn.XLOOKUP(raw_data_23[[#This Row],[Location]],Table2[Shop name],Table2[Category],"OCCATIONAL",0,1)</f>
        <v>FOOD DELIVERY</v>
      </c>
    </row>
    <row r="404" spans="1:6" x14ac:dyDescent="0.2">
      <c r="A404" s="7">
        <v>45920</v>
      </c>
      <c r="B404" s="2" t="str">
        <f t="shared" si="6"/>
        <v>September</v>
      </c>
      <c r="C404" s="2" t="s">
        <v>125</v>
      </c>
      <c r="D404" s="2" t="s">
        <v>19</v>
      </c>
      <c r="E404">
        <v>8</v>
      </c>
      <c r="F404" s="12" t="str">
        <f>_xlfn.XLOOKUP(raw_data_23[[#This Row],[Location]],Table2[Shop name],Table2[Category],"OCCATIONAL",0,1)</f>
        <v>OTHER</v>
      </c>
    </row>
    <row r="405" spans="1:6" x14ac:dyDescent="0.2">
      <c r="A405" s="7">
        <v>45920</v>
      </c>
      <c r="B405" s="2" t="str">
        <f t="shared" si="6"/>
        <v>September</v>
      </c>
      <c r="C405" s="2" t="s">
        <v>112</v>
      </c>
      <c r="D405" s="2" t="s">
        <v>19</v>
      </c>
      <c r="E405">
        <v>75</v>
      </c>
      <c r="F405" s="12" t="str">
        <f>_xlfn.XLOOKUP(raw_data_23[[#This Row],[Location]],Table2[Shop name],Table2[Category],"OCCATIONAL",0,1)</f>
        <v>FOOD</v>
      </c>
    </row>
    <row r="406" spans="1:6" x14ac:dyDescent="0.2">
      <c r="A406" s="7">
        <v>45920</v>
      </c>
      <c r="B406" s="2" t="str">
        <f t="shared" si="6"/>
        <v>September</v>
      </c>
      <c r="C406" s="2" t="s">
        <v>148</v>
      </c>
      <c r="D406" s="2" t="s">
        <v>19</v>
      </c>
      <c r="E406">
        <v>585.04999999999995</v>
      </c>
      <c r="F406" s="12" t="str">
        <f>_xlfn.XLOOKUP(raw_data_23[[#This Row],[Location]],Table2[Shop name],Table2[Category],"OCCATIONAL",0,1)</f>
        <v>GROCERIES</v>
      </c>
    </row>
    <row r="407" spans="1:6" x14ac:dyDescent="0.2">
      <c r="A407" s="7">
        <v>45920</v>
      </c>
      <c r="B407" s="2" t="str">
        <f t="shared" si="6"/>
        <v>September</v>
      </c>
      <c r="C407" s="2" t="s">
        <v>37</v>
      </c>
      <c r="D407" s="2" t="s">
        <v>19</v>
      </c>
      <c r="E407">
        <v>3.88</v>
      </c>
      <c r="F407" s="12" t="str">
        <f>_xlfn.XLOOKUP(raw_data_23[[#This Row],[Location]],Table2[Shop name],Table2[Category],"OCCATIONAL",0,1)</f>
        <v>GROCERIES</v>
      </c>
    </row>
    <row r="408" spans="1:6" x14ac:dyDescent="0.2">
      <c r="A408" s="7">
        <v>45920</v>
      </c>
      <c r="B408" s="2" t="str">
        <f t="shared" si="6"/>
        <v>September</v>
      </c>
      <c r="C408" s="2" t="s">
        <v>38</v>
      </c>
      <c r="D408" s="2" t="s">
        <v>19</v>
      </c>
      <c r="E408">
        <v>5</v>
      </c>
      <c r="F408" s="12" t="str">
        <f>_xlfn.XLOOKUP(raw_data_23[[#This Row],[Location]],Table2[Shop name],Table2[Category],"OCCATIONAL",0,1)</f>
        <v>GROCERIES</v>
      </c>
    </row>
    <row r="409" spans="1:6" x14ac:dyDescent="0.2">
      <c r="A409" s="7">
        <v>45921</v>
      </c>
      <c r="B409" s="2" t="str">
        <f t="shared" si="6"/>
        <v>September</v>
      </c>
      <c r="C409" s="2" t="s">
        <v>21</v>
      </c>
      <c r="D409" s="2" t="s">
        <v>19</v>
      </c>
      <c r="E409">
        <v>20</v>
      </c>
      <c r="F409" s="12" t="str">
        <f>_xlfn.XLOOKUP(raw_data_23[[#This Row],[Location]],Table2[Shop name],Table2[Category],"OCCATIONAL",0,1)</f>
        <v>TRAVEL</v>
      </c>
    </row>
    <row r="410" spans="1:6" x14ac:dyDescent="0.2">
      <c r="A410" s="7">
        <v>45921</v>
      </c>
      <c r="B410" s="2" t="str">
        <f t="shared" si="6"/>
        <v>September</v>
      </c>
      <c r="C410" s="2" t="s">
        <v>34</v>
      </c>
      <c r="D410" s="2" t="s">
        <v>4</v>
      </c>
      <c r="E410">
        <v>54</v>
      </c>
      <c r="F410" s="12" t="str">
        <f>_xlfn.XLOOKUP(raw_data_23[[#This Row],[Location]],Table2[Shop name],Table2[Category],"OCCATIONAL",0,1)</f>
        <v>TRAVEL</v>
      </c>
    </row>
    <row r="411" spans="1:6" x14ac:dyDescent="0.2">
      <c r="A411" s="7">
        <v>45923</v>
      </c>
      <c r="B411" s="2" t="str">
        <f t="shared" si="6"/>
        <v>September</v>
      </c>
      <c r="C411" s="2" t="s">
        <v>50</v>
      </c>
      <c r="D411" s="2" t="s">
        <v>19</v>
      </c>
      <c r="E411">
        <v>7</v>
      </c>
      <c r="F411" s="12" t="str">
        <f>_xlfn.XLOOKUP(raw_data_23[[#This Row],[Location]],Table2[Shop name],Table2[Category],"OCCATIONAL",0,1)</f>
        <v>COFFEE SHOP</v>
      </c>
    </row>
    <row r="412" spans="1:6" x14ac:dyDescent="0.2">
      <c r="A412" s="7">
        <v>45923</v>
      </c>
      <c r="B412" s="2" t="str">
        <f t="shared" si="6"/>
        <v>September</v>
      </c>
      <c r="C412" s="2" t="s">
        <v>38</v>
      </c>
      <c r="D412" s="2" t="s">
        <v>19</v>
      </c>
      <c r="E412">
        <v>10.4</v>
      </c>
      <c r="F412" s="12" t="str">
        <f>_xlfn.XLOOKUP(raw_data_23[[#This Row],[Location]],Table2[Shop name],Table2[Category],"OCCATIONAL",0,1)</f>
        <v>GROCERIES</v>
      </c>
    </row>
    <row r="413" spans="1:6" x14ac:dyDescent="0.2">
      <c r="A413" s="7">
        <v>45924</v>
      </c>
      <c r="B413" s="2" t="str">
        <f t="shared" si="6"/>
        <v>September</v>
      </c>
      <c r="C413" s="2" t="s">
        <v>6</v>
      </c>
      <c r="D413" s="2" t="s">
        <v>33</v>
      </c>
      <c r="E413">
        <v>50</v>
      </c>
      <c r="F413" s="12" t="str">
        <f>_xlfn.XLOOKUP(raw_data_23[[#This Row],[Location]],Table2[Shop name],Table2[Category],"OCCATIONAL",0,1)</f>
        <v>TRAVEL</v>
      </c>
    </row>
    <row r="414" spans="1:6" x14ac:dyDescent="0.2">
      <c r="A414" s="7">
        <v>45924</v>
      </c>
      <c r="B414" s="2" t="str">
        <f t="shared" si="6"/>
        <v>September</v>
      </c>
      <c r="C414" s="2" t="s">
        <v>117</v>
      </c>
      <c r="D414" s="2" t="s">
        <v>19</v>
      </c>
      <c r="E414">
        <v>24</v>
      </c>
      <c r="F414" s="12" t="str">
        <f>_xlfn.XLOOKUP(raw_data_23[[#This Row],[Location]],Table2[Shop name],Table2[Category],"OCCATIONAL",0,1)</f>
        <v>FOOD</v>
      </c>
    </row>
    <row r="415" spans="1:6" x14ac:dyDescent="0.2">
      <c r="A415" s="7">
        <v>45924</v>
      </c>
      <c r="B415" s="2" t="str">
        <f t="shared" si="6"/>
        <v>September</v>
      </c>
      <c r="C415" s="2" t="s">
        <v>51</v>
      </c>
      <c r="D415" s="2" t="s">
        <v>19</v>
      </c>
      <c r="E415">
        <v>43.21</v>
      </c>
      <c r="F415" s="12" t="str">
        <f>_xlfn.XLOOKUP(raw_data_23[[#This Row],[Location]],Table2[Shop name],Table2[Category],"OCCATIONAL",0,1)</f>
        <v>GROCERIES</v>
      </c>
    </row>
    <row r="416" spans="1:6" x14ac:dyDescent="0.2">
      <c r="A416" s="7">
        <v>45924</v>
      </c>
      <c r="B416" s="2" t="str">
        <f t="shared" si="6"/>
        <v>September</v>
      </c>
      <c r="C416" s="2" t="s">
        <v>74</v>
      </c>
      <c r="D416" s="2" t="s">
        <v>19</v>
      </c>
      <c r="E416">
        <v>69.989999999999995</v>
      </c>
      <c r="F416" s="12" t="str">
        <f>_xlfn.XLOOKUP(raw_data_23[[#This Row],[Location]],Table2[Shop name],Table2[Category],"OCCATIONAL",0,1)</f>
        <v>CLOTHING</v>
      </c>
    </row>
    <row r="417" spans="1:6" x14ac:dyDescent="0.2">
      <c r="A417" s="7">
        <v>45924</v>
      </c>
      <c r="B417" s="2" t="str">
        <f t="shared" si="6"/>
        <v>September</v>
      </c>
      <c r="C417" s="2" t="s">
        <v>126</v>
      </c>
      <c r="D417" s="2" t="s">
        <v>19</v>
      </c>
      <c r="E417">
        <v>58.32</v>
      </c>
      <c r="F417" s="12" t="str">
        <f>_xlfn.XLOOKUP(raw_data_23[[#This Row],[Location]],Table2[Shop name],Table2[Category],"OCCATIONAL",0,1)</f>
        <v>FOOD DELIVERY</v>
      </c>
    </row>
    <row r="418" spans="1:6" x14ac:dyDescent="0.2">
      <c r="A418" s="7">
        <v>45924</v>
      </c>
      <c r="B418" s="2" t="str">
        <f t="shared" si="6"/>
        <v>September</v>
      </c>
      <c r="C418" s="2" t="s">
        <v>84</v>
      </c>
      <c r="D418" s="2" t="s">
        <v>19</v>
      </c>
      <c r="E418">
        <v>37</v>
      </c>
      <c r="F418" s="12" t="str">
        <f>_xlfn.XLOOKUP(raw_data_23[[#This Row],[Location]],Table2[Shop name],Table2[Category],"OCCATIONAL",0,1)</f>
        <v>CLOTHING</v>
      </c>
    </row>
    <row r="419" spans="1:6" x14ac:dyDescent="0.2">
      <c r="A419" s="7">
        <v>45924</v>
      </c>
      <c r="B419" s="2" t="str">
        <f t="shared" si="6"/>
        <v>September</v>
      </c>
      <c r="C419" s="2" t="s">
        <v>92</v>
      </c>
      <c r="D419" s="2" t="s">
        <v>19</v>
      </c>
      <c r="E419">
        <v>36</v>
      </c>
      <c r="F419" s="12" t="str">
        <f>_xlfn.XLOOKUP(raw_data_23[[#This Row],[Location]],Table2[Shop name],Table2[Category],"OCCATIONAL",0,1)</f>
        <v>HOME NEEDS</v>
      </c>
    </row>
    <row r="420" spans="1:6" x14ac:dyDescent="0.2">
      <c r="A420" s="7">
        <v>45925</v>
      </c>
      <c r="B420" s="2" t="str">
        <f t="shared" si="6"/>
        <v>September</v>
      </c>
      <c r="C420" s="2" t="s">
        <v>38</v>
      </c>
      <c r="D420" s="2" t="s">
        <v>19</v>
      </c>
      <c r="E420">
        <v>2.17</v>
      </c>
      <c r="F420" s="12" t="str">
        <f>_xlfn.XLOOKUP(raw_data_23[[#This Row],[Location]],Table2[Shop name],Table2[Category],"OCCATIONAL",0,1)</f>
        <v>GROCERIES</v>
      </c>
    </row>
    <row r="421" spans="1:6" x14ac:dyDescent="0.2">
      <c r="A421" s="7">
        <v>45927</v>
      </c>
      <c r="B421" s="2" t="str">
        <f t="shared" si="6"/>
        <v>September</v>
      </c>
      <c r="C421" s="2" t="s">
        <v>51</v>
      </c>
      <c r="D421" s="2" t="s">
        <v>19</v>
      </c>
      <c r="E421">
        <v>405.91</v>
      </c>
      <c r="F421" s="12" t="str">
        <f>_xlfn.XLOOKUP(raw_data_23[[#This Row],[Location]],Table2[Shop name],Table2[Category],"OCCATIONAL",0,1)</f>
        <v>GROCERIES</v>
      </c>
    </row>
    <row r="422" spans="1:6" x14ac:dyDescent="0.2">
      <c r="A422" s="7">
        <v>45927</v>
      </c>
      <c r="B422" s="2" t="str">
        <f t="shared" si="6"/>
        <v>September</v>
      </c>
      <c r="C422" s="2" t="s">
        <v>40</v>
      </c>
      <c r="D422" s="2" t="s">
        <v>19</v>
      </c>
      <c r="E422">
        <v>70</v>
      </c>
      <c r="F422" s="12" t="str">
        <f>_xlfn.XLOOKUP(raw_data_23[[#This Row],[Location]],Table2[Shop name],Table2[Category],"OCCATIONAL",0,1)</f>
        <v>GROCERIES</v>
      </c>
    </row>
    <row r="423" spans="1:6" x14ac:dyDescent="0.2">
      <c r="A423" s="7">
        <v>45927</v>
      </c>
      <c r="B423" s="2" t="str">
        <f t="shared" si="6"/>
        <v>September</v>
      </c>
      <c r="C423" s="2" t="s">
        <v>21</v>
      </c>
      <c r="D423" s="2" t="s">
        <v>19</v>
      </c>
      <c r="E423">
        <v>20</v>
      </c>
      <c r="F423" s="12" t="str">
        <f>_xlfn.XLOOKUP(raw_data_23[[#This Row],[Location]],Table2[Shop name],Table2[Category],"OCCATIONAL",0,1)</f>
        <v>TRAVEL</v>
      </c>
    </row>
    <row r="424" spans="1:6" x14ac:dyDescent="0.2">
      <c r="A424" s="7">
        <v>45927</v>
      </c>
      <c r="B424" s="2" t="str">
        <f t="shared" si="6"/>
        <v>September</v>
      </c>
      <c r="C424" s="2" t="s">
        <v>53</v>
      </c>
      <c r="D424" s="2" t="s">
        <v>19</v>
      </c>
      <c r="E424">
        <v>13.9</v>
      </c>
      <c r="F424" s="12" t="str">
        <f>_xlfn.XLOOKUP(raw_data_23[[#This Row],[Location]],Table2[Shop name],Table2[Category],"OCCATIONAL",0,1)</f>
        <v>HOME NEEDS</v>
      </c>
    </row>
    <row r="425" spans="1:6" x14ac:dyDescent="0.2">
      <c r="A425" s="7">
        <v>45927</v>
      </c>
      <c r="B425" s="2" t="str">
        <f t="shared" si="6"/>
        <v>September</v>
      </c>
      <c r="C425" s="2" t="s">
        <v>34</v>
      </c>
      <c r="D425" s="2" t="s">
        <v>4</v>
      </c>
      <c r="E425">
        <v>54.76</v>
      </c>
      <c r="F425" s="12" t="str">
        <f>_xlfn.XLOOKUP(raw_data_23[[#This Row],[Location]],Table2[Shop name],Table2[Category],"OCCATIONAL",0,1)</f>
        <v>TRAVEL</v>
      </c>
    </row>
    <row r="426" spans="1:6" x14ac:dyDescent="0.2">
      <c r="A426" s="7">
        <v>45927</v>
      </c>
      <c r="B426" s="2" t="str">
        <f t="shared" si="6"/>
        <v>September</v>
      </c>
      <c r="C426" s="2" t="s">
        <v>47</v>
      </c>
      <c r="D426" s="2" t="s">
        <v>19</v>
      </c>
      <c r="E426">
        <v>2.4900000000000002</v>
      </c>
      <c r="F426" s="12" t="str">
        <f>_xlfn.XLOOKUP(raw_data_23[[#This Row],[Location]],Table2[Shop name],Table2[Category],"OCCATIONAL",0,1)</f>
        <v>GROCERIES</v>
      </c>
    </row>
    <row r="427" spans="1:6" x14ac:dyDescent="0.2">
      <c r="A427" s="7">
        <v>45927</v>
      </c>
      <c r="B427" s="2" t="str">
        <f t="shared" si="6"/>
        <v>September</v>
      </c>
      <c r="C427" s="2" t="s">
        <v>38</v>
      </c>
      <c r="D427" s="2" t="s">
        <v>19</v>
      </c>
      <c r="E427">
        <v>5.2</v>
      </c>
      <c r="F427" s="12" t="str">
        <f>_xlfn.XLOOKUP(raw_data_23[[#This Row],[Location]],Table2[Shop name],Table2[Category],"OCCATIONAL",0,1)</f>
        <v>GROCERIES</v>
      </c>
    </row>
    <row r="428" spans="1:6" x14ac:dyDescent="0.2">
      <c r="A428" s="7">
        <v>45927</v>
      </c>
      <c r="B428" s="2" t="str">
        <f t="shared" si="6"/>
        <v>September</v>
      </c>
      <c r="C428" s="2" t="s">
        <v>38</v>
      </c>
      <c r="D428" s="2" t="s">
        <v>19</v>
      </c>
      <c r="E428">
        <v>2.5</v>
      </c>
      <c r="F428" s="12" t="str">
        <f>_xlfn.XLOOKUP(raw_data_23[[#This Row],[Location]],Table2[Shop name],Table2[Category],"OCCATIONAL",0,1)</f>
        <v>GROCERIES</v>
      </c>
    </row>
    <row r="429" spans="1:6" x14ac:dyDescent="0.2">
      <c r="A429" s="7">
        <v>45928</v>
      </c>
      <c r="B429" s="2" t="str">
        <f t="shared" si="6"/>
        <v>September</v>
      </c>
      <c r="C429" s="2" t="s">
        <v>13</v>
      </c>
      <c r="D429" s="2" t="s">
        <v>8</v>
      </c>
      <c r="E429">
        <v>300.5</v>
      </c>
      <c r="F429" s="12" t="str">
        <f>_xlfn.XLOOKUP(raw_data_23[[#This Row],[Location]],Table2[Shop name],Table2[Category],"OCCATIONAL",0,1)</f>
        <v>ONLINE ORDERS</v>
      </c>
    </row>
    <row r="430" spans="1:6" x14ac:dyDescent="0.2">
      <c r="A430" s="7">
        <v>45928</v>
      </c>
      <c r="B430" s="2" t="str">
        <f t="shared" si="6"/>
        <v>September</v>
      </c>
      <c r="C430" s="2" t="s">
        <v>13</v>
      </c>
      <c r="D430" s="2" t="s">
        <v>8</v>
      </c>
      <c r="E430">
        <v>161.58000000000001</v>
      </c>
      <c r="F430" s="12" t="str">
        <f>_xlfn.XLOOKUP(raw_data_23[[#This Row],[Location]],Table2[Shop name],Table2[Category],"OCCATIONAL",0,1)</f>
        <v>ONLINE ORDERS</v>
      </c>
    </row>
    <row r="431" spans="1:6" x14ac:dyDescent="0.2">
      <c r="A431" s="7">
        <v>45930</v>
      </c>
      <c r="B431" s="2" t="str">
        <f t="shared" si="6"/>
        <v>September</v>
      </c>
      <c r="C431" s="2" t="s">
        <v>13</v>
      </c>
      <c r="D431" s="2" t="s">
        <v>8</v>
      </c>
      <c r="E431">
        <v>120.79</v>
      </c>
      <c r="F431" s="12" t="str">
        <f>_xlfn.XLOOKUP(raw_data_23[[#This Row],[Location]],Table2[Shop name],Table2[Category],"OCCATIONAL",0,1)</f>
        <v>ONLINE ORDERS</v>
      </c>
    </row>
    <row r="432" spans="1:6" x14ac:dyDescent="0.2">
      <c r="A432" s="7">
        <v>45931</v>
      </c>
      <c r="B432" s="2" t="str">
        <f t="shared" si="6"/>
        <v>October</v>
      </c>
      <c r="C432" s="2" t="s">
        <v>6</v>
      </c>
      <c r="D432" s="2" t="s">
        <v>12</v>
      </c>
      <c r="E432">
        <v>35</v>
      </c>
      <c r="F432" s="12" t="str">
        <f>_xlfn.XLOOKUP(raw_data_23[[#This Row],[Location]],Table2[Shop name],Table2[Category],"OCCATIONAL",0,1)</f>
        <v>TRAVEL</v>
      </c>
    </row>
    <row r="433" spans="1:6" x14ac:dyDescent="0.2">
      <c r="A433" s="7">
        <v>45931</v>
      </c>
      <c r="B433" s="2" t="str">
        <f t="shared" si="6"/>
        <v>October</v>
      </c>
      <c r="C433" s="2" t="s">
        <v>150</v>
      </c>
      <c r="D433" s="2" t="s">
        <v>19</v>
      </c>
      <c r="E433">
        <v>13.98</v>
      </c>
      <c r="F433" s="12" t="str">
        <f>_xlfn.XLOOKUP(raw_data_23[[#This Row],[Location]],Table2[Shop name],Table2[Category],"OCCATIONAL",0,1)</f>
        <v>OCCATIONAL</v>
      </c>
    </row>
    <row r="434" spans="1:6" x14ac:dyDescent="0.2">
      <c r="A434" s="7">
        <v>45931</v>
      </c>
      <c r="B434" s="2" t="str">
        <f t="shared" si="6"/>
        <v>October</v>
      </c>
      <c r="C434" s="2" t="s">
        <v>150</v>
      </c>
      <c r="D434" s="2" t="s">
        <v>19</v>
      </c>
      <c r="E434">
        <v>5</v>
      </c>
      <c r="F434" s="12" t="str">
        <f>_xlfn.XLOOKUP(raw_data_23[[#This Row],[Location]],Table2[Shop name],Table2[Category],"OCCATIONAL",0,1)</f>
        <v>OCCATIONAL</v>
      </c>
    </row>
    <row r="435" spans="1:6" x14ac:dyDescent="0.2">
      <c r="A435" s="7">
        <v>45931</v>
      </c>
      <c r="B435" s="2" t="str">
        <f t="shared" si="6"/>
        <v>October</v>
      </c>
      <c r="C435" s="2" t="s">
        <v>51</v>
      </c>
      <c r="D435" s="2" t="s">
        <v>19</v>
      </c>
      <c r="E435">
        <v>7.49</v>
      </c>
      <c r="F435" s="12" t="str">
        <f>_xlfn.XLOOKUP(raw_data_23[[#This Row],[Location]],Table2[Shop name],Table2[Category],"OCCATIONAL",0,1)</f>
        <v>GROCERIES</v>
      </c>
    </row>
    <row r="436" spans="1:6" x14ac:dyDescent="0.2">
      <c r="A436" s="7">
        <v>45931</v>
      </c>
      <c r="B436" s="2" t="str">
        <f t="shared" si="6"/>
        <v>October</v>
      </c>
      <c r="C436" s="2" t="s">
        <v>38</v>
      </c>
      <c r="D436" s="2" t="s">
        <v>19</v>
      </c>
      <c r="E436">
        <v>19.98</v>
      </c>
      <c r="F436" s="12" t="str">
        <f>_xlfn.XLOOKUP(raw_data_23[[#This Row],[Location]],Table2[Shop name],Table2[Category],"OCCATIONAL",0,1)</f>
        <v>GROCERIES</v>
      </c>
    </row>
    <row r="437" spans="1:6" x14ac:dyDescent="0.2">
      <c r="A437" s="7">
        <v>45932</v>
      </c>
      <c r="B437" s="2" t="str">
        <f t="shared" si="6"/>
        <v>October</v>
      </c>
      <c r="C437" s="2" t="s">
        <v>37</v>
      </c>
      <c r="D437" s="2" t="s">
        <v>19</v>
      </c>
      <c r="E437">
        <v>40.869999999999997</v>
      </c>
      <c r="F437" s="12" t="str">
        <f>_xlfn.XLOOKUP(raw_data_23[[#This Row],[Location]],Table2[Shop name],Table2[Category],"OCCATIONAL",0,1)</f>
        <v>GROCERIES</v>
      </c>
    </row>
    <row r="438" spans="1:6" x14ac:dyDescent="0.2">
      <c r="A438" s="7">
        <v>45933</v>
      </c>
      <c r="B438" s="2" t="str">
        <f t="shared" si="6"/>
        <v>October</v>
      </c>
      <c r="C438" s="2" t="s">
        <v>21</v>
      </c>
      <c r="D438" s="2" t="s">
        <v>19</v>
      </c>
      <c r="E438">
        <v>20</v>
      </c>
      <c r="F438" s="12" t="str">
        <f>_xlfn.XLOOKUP(raw_data_23[[#This Row],[Location]],Table2[Shop name],Table2[Category],"OCCATIONAL",0,1)</f>
        <v>TRAVEL</v>
      </c>
    </row>
    <row r="439" spans="1:6" x14ac:dyDescent="0.2">
      <c r="A439" s="7">
        <v>45933</v>
      </c>
      <c r="B439" s="2" t="str">
        <f t="shared" si="6"/>
        <v>October</v>
      </c>
      <c r="C439" s="2" t="s">
        <v>13</v>
      </c>
      <c r="D439" s="2" t="s">
        <v>8</v>
      </c>
      <c r="E439">
        <v>82.02</v>
      </c>
      <c r="F439" s="12" t="str">
        <f>_xlfn.XLOOKUP(raw_data_23[[#This Row],[Location]],Table2[Shop name],Table2[Category],"OCCATIONAL",0,1)</f>
        <v>ONLINE ORDERS</v>
      </c>
    </row>
    <row r="440" spans="1:6" x14ac:dyDescent="0.2">
      <c r="A440" s="7">
        <v>45933</v>
      </c>
      <c r="B440" s="2" t="str">
        <f t="shared" si="6"/>
        <v>October</v>
      </c>
      <c r="C440" s="2" t="s">
        <v>25</v>
      </c>
      <c r="D440" s="2" t="s">
        <v>19</v>
      </c>
      <c r="E440">
        <v>229.99</v>
      </c>
      <c r="F440" s="12" t="str">
        <f>_xlfn.XLOOKUP(raw_data_23[[#This Row],[Location]],Table2[Shop name],Table2[Category],"OCCATIONAL",0,1)</f>
        <v>HOME NEEDS</v>
      </c>
    </row>
    <row r="441" spans="1:6" x14ac:dyDescent="0.2">
      <c r="A441" s="7">
        <v>45934</v>
      </c>
      <c r="B441" s="2" t="str">
        <f t="shared" si="6"/>
        <v>October</v>
      </c>
      <c r="C441" s="2" t="s">
        <v>62</v>
      </c>
      <c r="D441" s="2" t="s">
        <v>19</v>
      </c>
      <c r="E441">
        <v>89.5</v>
      </c>
      <c r="F441" s="12" t="str">
        <f>_xlfn.XLOOKUP(raw_data_23[[#This Row],[Location]],Table2[Shop name],Table2[Category],"OCCATIONAL",0,1)</f>
        <v>HOME NEEDS</v>
      </c>
    </row>
    <row r="442" spans="1:6" x14ac:dyDescent="0.2">
      <c r="A442" s="7">
        <v>45934</v>
      </c>
      <c r="B442" s="2" t="str">
        <f t="shared" si="6"/>
        <v>October</v>
      </c>
      <c r="C442" s="2" t="s">
        <v>127</v>
      </c>
      <c r="D442" s="2" t="s">
        <v>19</v>
      </c>
      <c r="E442">
        <v>90</v>
      </c>
      <c r="F442" s="12" t="str">
        <f>_xlfn.XLOOKUP(raw_data_23[[#This Row],[Location]],Table2[Shop name],Table2[Category],"OCCATIONAL",0,1)</f>
        <v>FOOD</v>
      </c>
    </row>
    <row r="443" spans="1:6" x14ac:dyDescent="0.2">
      <c r="A443" s="7">
        <v>45934</v>
      </c>
      <c r="B443" s="2" t="str">
        <f t="shared" si="6"/>
        <v>October</v>
      </c>
      <c r="C443" s="2" t="s">
        <v>51</v>
      </c>
      <c r="D443" s="2" t="s">
        <v>19</v>
      </c>
      <c r="E443">
        <v>336.28</v>
      </c>
      <c r="F443" s="12" t="str">
        <f>_xlfn.XLOOKUP(raw_data_23[[#This Row],[Location]],Table2[Shop name],Table2[Category],"OCCATIONAL",0,1)</f>
        <v>GROCERIES</v>
      </c>
    </row>
    <row r="444" spans="1:6" x14ac:dyDescent="0.2">
      <c r="A444" s="7">
        <v>45934</v>
      </c>
      <c r="B444" s="2" t="str">
        <f t="shared" si="6"/>
        <v>October</v>
      </c>
      <c r="C444" s="2" t="s">
        <v>43</v>
      </c>
      <c r="D444" s="2" t="s">
        <v>19</v>
      </c>
      <c r="E444">
        <v>7</v>
      </c>
      <c r="F444" s="12" t="str">
        <f>_xlfn.XLOOKUP(raw_data_23[[#This Row],[Location]],Table2[Shop name],Table2[Category],"OCCATIONAL",0,1)</f>
        <v>FOOD</v>
      </c>
    </row>
    <row r="445" spans="1:6" x14ac:dyDescent="0.2">
      <c r="A445" s="7">
        <v>45934</v>
      </c>
      <c r="B445" s="2" t="str">
        <f t="shared" si="6"/>
        <v>October</v>
      </c>
      <c r="C445" s="2" t="s">
        <v>20</v>
      </c>
      <c r="D445" s="2" t="s">
        <v>19</v>
      </c>
      <c r="E445">
        <v>45</v>
      </c>
      <c r="F445" s="12" t="str">
        <f>_xlfn.XLOOKUP(raw_data_23[[#This Row],[Location]],Table2[Shop name],Table2[Category],"OCCATIONAL",0,1)</f>
        <v>ONLINE ORDERS</v>
      </c>
    </row>
    <row r="446" spans="1:6" x14ac:dyDescent="0.2">
      <c r="A446" s="7">
        <v>45934</v>
      </c>
      <c r="B446" s="2" t="str">
        <f t="shared" si="6"/>
        <v>October</v>
      </c>
      <c r="C446" s="2" t="s">
        <v>21</v>
      </c>
      <c r="D446" s="2" t="s">
        <v>19</v>
      </c>
      <c r="E446">
        <v>20</v>
      </c>
      <c r="F446" s="12" t="str">
        <f>_xlfn.XLOOKUP(raw_data_23[[#This Row],[Location]],Table2[Shop name],Table2[Category],"OCCATIONAL",0,1)</f>
        <v>TRAVEL</v>
      </c>
    </row>
    <row r="447" spans="1:6" x14ac:dyDescent="0.2">
      <c r="A447" s="7">
        <v>45934</v>
      </c>
      <c r="B447" s="2" t="str">
        <f t="shared" si="6"/>
        <v>October</v>
      </c>
      <c r="C447" s="2" t="s">
        <v>34</v>
      </c>
      <c r="D447" s="2" t="s">
        <v>4</v>
      </c>
      <c r="E447">
        <v>33</v>
      </c>
      <c r="F447" s="12" t="str">
        <f>_xlfn.XLOOKUP(raw_data_23[[#This Row],[Location]],Table2[Shop name],Table2[Category],"OCCATIONAL",0,1)</f>
        <v>TRAVEL</v>
      </c>
    </row>
    <row r="448" spans="1:6" x14ac:dyDescent="0.2">
      <c r="A448" s="7">
        <v>45934</v>
      </c>
      <c r="B448" s="2" t="str">
        <f t="shared" si="6"/>
        <v>October</v>
      </c>
      <c r="C448" s="2" t="s">
        <v>128</v>
      </c>
      <c r="D448" s="2" t="s">
        <v>19</v>
      </c>
      <c r="E448">
        <v>22.15</v>
      </c>
      <c r="F448" s="12" t="str">
        <f>_xlfn.XLOOKUP(raw_data_23[[#This Row],[Location]],Table2[Shop name],Table2[Category],"OCCATIONAL",0,1)</f>
        <v>COFFEE SHOP</v>
      </c>
    </row>
    <row r="449" spans="1:6" x14ac:dyDescent="0.2">
      <c r="A449" s="7">
        <v>45934</v>
      </c>
      <c r="B449" s="2" t="str">
        <f t="shared" si="6"/>
        <v>October</v>
      </c>
      <c r="C449" s="2" t="s">
        <v>26</v>
      </c>
      <c r="D449" s="2" t="s">
        <v>19</v>
      </c>
      <c r="E449">
        <v>20</v>
      </c>
      <c r="F449" s="12" t="str">
        <f>_xlfn.XLOOKUP(raw_data_23[[#This Row],[Location]],Table2[Shop name],Table2[Category],"OCCATIONAL",0,1)</f>
        <v>TRAVEL</v>
      </c>
    </row>
    <row r="450" spans="1:6" x14ac:dyDescent="0.2">
      <c r="A450" s="7">
        <v>45934</v>
      </c>
      <c r="B450" s="2" t="str">
        <f t="shared" ref="B450:B513" si="7">TEXT(A450,"mmmm")</f>
        <v>October</v>
      </c>
      <c r="C450" s="2" t="s">
        <v>38</v>
      </c>
      <c r="D450" s="2" t="s">
        <v>19</v>
      </c>
      <c r="E450">
        <v>14.69</v>
      </c>
      <c r="F450" s="12" t="str">
        <f>_xlfn.XLOOKUP(raw_data_23[[#This Row],[Location]],Table2[Shop name],Table2[Category],"OCCATIONAL",0,1)</f>
        <v>GROCERIES</v>
      </c>
    </row>
    <row r="451" spans="1:6" x14ac:dyDescent="0.2">
      <c r="A451" s="7">
        <v>45935</v>
      </c>
      <c r="B451" s="2" t="str">
        <f t="shared" si="7"/>
        <v>October</v>
      </c>
      <c r="C451" s="2" t="s">
        <v>13</v>
      </c>
      <c r="D451" s="2" t="s">
        <v>8</v>
      </c>
      <c r="E451">
        <v>42.11</v>
      </c>
      <c r="F451" s="12" t="str">
        <f>_xlfn.XLOOKUP(raw_data_23[[#This Row],[Location]],Table2[Shop name],Table2[Category],"OCCATIONAL",0,1)</f>
        <v>ONLINE ORDERS</v>
      </c>
    </row>
    <row r="452" spans="1:6" x14ac:dyDescent="0.2">
      <c r="A452" s="7">
        <v>45936</v>
      </c>
      <c r="B452" s="2" t="str">
        <f t="shared" si="7"/>
        <v>October</v>
      </c>
      <c r="C452" s="2" t="s">
        <v>6</v>
      </c>
      <c r="D452" s="2" t="s">
        <v>14</v>
      </c>
      <c r="E452">
        <v>167.5</v>
      </c>
      <c r="F452" s="12" t="str">
        <f>_xlfn.XLOOKUP(raw_data_23[[#This Row],[Location]],Table2[Shop name],Table2[Category],"OCCATIONAL",0,1)</f>
        <v>TRAVEL</v>
      </c>
    </row>
    <row r="453" spans="1:6" x14ac:dyDescent="0.2">
      <c r="A453" s="7">
        <v>45937</v>
      </c>
      <c r="B453" s="2" t="str">
        <f t="shared" si="7"/>
        <v>October</v>
      </c>
      <c r="C453" s="2" t="s">
        <v>150</v>
      </c>
      <c r="D453" s="2" t="s">
        <v>19</v>
      </c>
      <c r="E453">
        <v>6.99</v>
      </c>
      <c r="F453" s="12" t="str">
        <f>_xlfn.XLOOKUP(raw_data_23[[#This Row],[Location]],Table2[Shop name],Table2[Category],"OCCATIONAL",0,1)</f>
        <v>OCCATIONAL</v>
      </c>
    </row>
    <row r="454" spans="1:6" x14ac:dyDescent="0.2">
      <c r="A454" s="7">
        <v>45938</v>
      </c>
      <c r="B454" s="2" t="str">
        <f t="shared" si="7"/>
        <v>October</v>
      </c>
      <c r="C454" s="2" t="s">
        <v>7</v>
      </c>
      <c r="D454" s="2" t="s">
        <v>19</v>
      </c>
      <c r="E454">
        <v>12</v>
      </c>
      <c r="F454" s="12" t="str">
        <f>_xlfn.XLOOKUP(raw_data_23[[#This Row],[Location]],Table2[Shop name],Table2[Category],"OCCATIONAL",0,1)</f>
        <v>OCCATIONAL</v>
      </c>
    </row>
    <row r="455" spans="1:6" x14ac:dyDescent="0.2">
      <c r="A455" s="7">
        <v>45938</v>
      </c>
      <c r="B455" s="2" t="str">
        <f t="shared" si="7"/>
        <v>October</v>
      </c>
      <c r="C455" s="2" t="s">
        <v>105</v>
      </c>
      <c r="D455" s="2" t="s">
        <v>19</v>
      </c>
      <c r="E455">
        <v>38.979999999999997</v>
      </c>
      <c r="F455" s="12" t="str">
        <f>_xlfn.XLOOKUP(raw_data_23[[#This Row],[Location]],Table2[Shop name],Table2[Category],"OCCATIONAL",0,1)</f>
        <v>HOME NEEDS</v>
      </c>
    </row>
    <row r="456" spans="1:6" x14ac:dyDescent="0.2">
      <c r="A456" s="7">
        <v>45938</v>
      </c>
      <c r="B456" s="2" t="str">
        <f t="shared" si="7"/>
        <v>October</v>
      </c>
      <c r="C456" s="2" t="s">
        <v>51</v>
      </c>
      <c r="D456" s="2" t="s">
        <v>19</v>
      </c>
      <c r="E456">
        <v>144.97999999999999</v>
      </c>
      <c r="F456" s="12" t="str">
        <f>_xlfn.XLOOKUP(raw_data_23[[#This Row],[Location]],Table2[Shop name],Table2[Category],"OCCATIONAL",0,1)</f>
        <v>GROCERIES</v>
      </c>
    </row>
    <row r="457" spans="1:6" x14ac:dyDescent="0.2">
      <c r="A457" s="7">
        <v>45938</v>
      </c>
      <c r="B457" s="2" t="str">
        <f t="shared" si="7"/>
        <v>October</v>
      </c>
      <c r="C457" s="2" t="s">
        <v>21</v>
      </c>
      <c r="D457" s="2" t="s">
        <v>19</v>
      </c>
      <c r="E457">
        <v>20</v>
      </c>
      <c r="F457" s="12" t="str">
        <f>_xlfn.XLOOKUP(raw_data_23[[#This Row],[Location]],Table2[Shop name],Table2[Category],"OCCATIONAL",0,1)</f>
        <v>TRAVEL</v>
      </c>
    </row>
    <row r="458" spans="1:6" x14ac:dyDescent="0.2">
      <c r="A458" s="7">
        <v>45940</v>
      </c>
      <c r="B458" s="2" t="str">
        <f t="shared" si="7"/>
        <v>October</v>
      </c>
      <c r="C458" s="2" t="s">
        <v>31</v>
      </c>
      <c r="D458" s="2" t="s">
        <v>9</v>
      </c>
      <c r="E458">
        <v>60.35</v>
      </c>
      <c r="F458" s="12" t="str">
        <f>_xlfn.XLOOKUP(raw_data_23[[#This Row],[Location]],Table2[Shop name],Table2[Category],"OCCATIONAL",0,1)</f>
        <v>FOOD DELIVERY</v>
      </c>
    </row>
    <row r="459" spans="1:6" x14ac:dyDescent="0.2">
      <c r="A459" s="7">
        <v>45940</v>
      </c>
      <c r="B459" s="2" t="str">
        <f t="shared" si="7"/>
        <v>October</v>
      </c>
      <c r="C459" s="2" t="s">
        <v>148</v>
      </c>
      <c r="D459" s="2" t="s">
        <v>19</v>
      </c>
      <c r="E459">
        <v>50.91</v>
      </c>
      <c r="F459" s="12" t="str">
        <f>_xlfn.XLOOKUP(raw_data_23[[#This Row],[Location]],Table2[Shop name],Table2[Category],"OCCATIONAL",0,1)</f>
        <v>GROCERIES</v>
      </c>
    </row>
    <row r="460" spans="1:6" x14ac:dyDescent="0.2">
      <c r="A460" s="7">
        <v>45941</v>
      </c>
      <c r="B460" s="2" t="str">
        <f t="shared" si="7"/>
        <v>October</v>
      </c>
      <c r="C460" s="2" t="s">
        <v>117</v>
      </c>
      <c r="D460" s="2" t="s">
        <v>19</v>
      </c>
      <c r="E460">
        <v>24</v>
      </c>
      <c r="F460" s="12" t="str">
        <f>_xlfn.XLOOKUP(raw_data_23[[#This Row],[Location]],Table2[Shop name],Table2[Category],"OCCATIONAL",0,1)</f>
        <v>FOOD</v>
      </c>
    </row>
    <row r="461" spans="1:6" x14ac:dyDescent="0.2">
      <c r="A461" s="7">
        <v>45941</v>
      </c>
      <c r="B461" s="2" t="str">
        <f t="shared" si="7"/>
        <v>October</v>
      </c>
      <c r="C461" s="2" t="s">
        <v>129</v>
      </c>
      <c r="D461" s="2" t="s">
        <v>19</v>
      </c>
      <c r="E461">
        <v>20.149999999999999</v>
      </c>
      <c r="F461" s="12" t="str">
        <f>_xlfn.XLOOKUP(raw_data_23[[#This Row],[Location]],Table2[Shop name],Table2[Category],"OCCATIONAL",0,1)</f>
        <v>COFFEE SHOP</v>
      </c>
    </row>
    <row r="462" spans="1:6" x14ac:dyDescent="0.2">
      <c r="A462" s="7">
        <v>45941</v>
      </c>
      <c r="B462" s="2" t="str">
        <f t="shared" si="7"/>
        <v>October</v>
      </c>
      <c r="C462" s="2" t="s">
        <v>74</v>
      </c>
      <c r="D462" s="2" t="s">
        <v>19</v>
      </c>
      <c r="E462">
        <v>159.97999999999999</v>
      </c>
      <c r="F462" s="12" t="str">
        <f>_xlfn.XLOOKUP(raw_data_23[[#This Row],[Location]],Table2[Shop name],Table2[Category],"OCCATIONAL",0,1)</f>
        <v>CLOTHING</v>
      </c>
    </row>
    <row r="463" spans="1:6" x14ac:dyDescent="0.2">
      <c r="A463" s="7">
        <v>45941</v>
      </c>
      <c r="B463" s="2" t="str">
        <f t="shared" si="7"/>
        <v>October</v>
      </c>
      <c r="C463" s="2" t="s">
        <v>146</v>
      </c>
      <c r="D463" s="2" t="s">
        <v>19</v>
      </c>
      <c r="E463">
        <v>115.87</v>
      </c>
      <c r="F463" s="12" t="str">
        <f>_xlfn.XLOOKUP(raw_data_23[[#This Row],[Location]],Table2[Shop name],Table2[Category],"OCCATIONAL",0,1)</f>
        <v>GROCERIES</v>
      </c>
    </row>
    <row r="464" spans="1:6" x14ac:dyDescent="0.2">
      <c r="A464" s="7">
        <v>45941</v>
      </c>
      <c r="B464" s="2" t="str">
        <f t="shared" si="7"/>
        <v>October</v>
      </c>
      <c r="C464" s="2" t="s">
        <v>146</v>
      </c>
      <c r="D464" s="2" t="s">
        <v>19</v>
      </c>
      <c r="E464">
        <v>4.4800000000000004</v>
      </c>
      <c r="F464" s="12" t="str">
        <f>_xlfn.XLOOKUP(raw_data_23[[#This Row],[Location]],Table2[Shop name],Table2[Category],"OCCATIONAL",0,1)</f>
        <v>GROCERIES</v>
      </c>
    </row>
    <row r="465" spans="1:6" x14ac:dyDescent="0.2">
      <c r="A465" s="7">
        <v>45941</v>
      </c>
      <c r="B465" s="2" t="str">
        <f t="shared" si="7"/>
        <v>October</v>
      </c>
      <c r="C465" s="2" t="s">
        <v>21</v>
      </c>
      <c r="D465" s="2" t="s">
        <v>19</v>
      </c>
      <c r="E465">
        <v>20</v>
      </c>
      <c r="F465" s="12" t="str">
        <f>_xlfn.XLOOKUP(raw_data_23[[#This Row],[Location]],Table2[Shop name],Table2[Category],"OCCATIONAL",0,1)</f>
        <v>TRAVEL</v>
      </c>
    </row>
    <row r="466" spans="1:6" x14ac:dyDescent="0.2">
      <c r="A466" s="7">
        <v>45941</v>
      </c>
      <c r="B466" s="2" t="str">
        <f t="shared" si="7"/>
        <v>October</v>
      </c>
      <c r="C466" s="2" t="s">
        <v>31</v>
      </c>
      <c r="D466" s="2" t="s">
        <v>9</v>
      </c>
      <c r="E466">
        <v>62.71</v>
      </c>
      <c r="F466" s="12" t="str">
        <f>_xlfn.XLOOKUP(raw_data_23[[#This Row],[Location]],Table2[Shop name],Table2[Category],"OCCATIONAL",0,1)</f>
        <v>FOOD DELIVERY</v>
      </c>
    </row>
    <row r="467" spans="1:6" x14ac:dyDescent="0.2">
      <c r="A467" s="7">
        <v>45941</v>
      </c>
      <c r="B467" s="2" t="str">
        <f t="shared" si="7"/>
        <v>October</v>
      </c>
      <c r="C467" s="2" t="s">
        <v>84</v>
      </c>
      <c r="D467" s="2" t="s">
        <v>19</v>
      </c>
      <c r="E467">
        <v>73</v>
      </c>
      <c r="F467" s="12" t="str">
        <f>_xlfn.XLOOKUP(raw_data_23[[#This Row],[Location]],Table2[Shop name],Table2[Category],"OCCATIONAL",0,1)</f>
        <v>CLOTHING</v>
      </c>
    </row>
    <row r="468" spans="1:6" x14ac:dyDescent="0.2">
      <c r="A468" s="7">
        <v>45941</v>
      </c>
      <c r="B468" s="2" t="str">
        <f t="shared" si="7"/>
        <v>October</v>
      </c>
      <c r="C468" s="2" t="s">
        <v>92</v>
      </c>
      <c r="D468" s="2" t="s">
        <v>19</v>
      </c>
      <c r="E468">
        <v>107.99</v>
      </c>
      <c r="F468" s="12" t="str">
        <f>_xlfn.XLOOKUP(raw_data_23[[#This Row],[Location]],Table2[Shop name],Table2[Category],"OCCATIONAL",0,1)</f>
        <v>HOME NEEDS</v>
      </c>
    </row>
    <row r="469" spans="1:6" x14ac:dyDescent="0.2">
      <c r="A469" s="7">
        <v>45941</v>
      </c>
      <c r="B469" s="2" t="str">
        <f t="shared" si="7"/>
        <v>October</v>
      </c>
      <c r="C469" s="2" t="s">
        <v>92</v>
      </c>
      <c r="D469" s="2" t="s">
        <v>19</v>
      </c>
      <c r="E469">
        <v>65</v>
      </c>
      <c r="F469" s="12" t="str">
        <f>_xlfn.XLOOKUP(raw_data_23[[#This Row],[Location]],Table2[Shop name],Table2[Category],"OCCATIONAL",0,1)</f>
        <v>HOME NEEDS</v>
      </c>
    </row>
    <row r="470" spans="1:6" x14ac:dyDescent="0.2">
      <c r="A470" s="7">
        <v>45941</v>
      </c>
      <c r="B470" s="2" t="str">
        <f t="shared" si="7"/>
        <v>October</v>
      </c>
      <c r="C470" s="2" t="s">
        <v>86</v>
      </c>
      <c r="D470" s="2" t="s">
        <v>19</v>
      </c>
      <c r="E470">
        <v>10</v>
      </c>
      <c r="F470" s="12" t="str">
        <f>_xlfn.XLOOKUP(raw_data_23[[#This Row],[Location]],Table2[Shop name],Table2[Category],"OCCATIONAL",0,1)</f>
        <v>HOME NEEDS</v>
      </c>
    </row>
    <row r="471" spans="1:6" x14ac:dyDescent="0.2">
      <c r="A471" s="7">
        <v>45942</v>
      </c>
      <c r="B471" s="2" t="str">
        <f t="shared" si="7"/>
        <v>October</v>
      </c>
      <c r="C471" s="2" t="s">
        <v>34</v>
      </c>
      <c r="D471" s="2" t="s">
        <v>4</v>
      </c>
      <c r="E471">
        <v>46.9</v>
      </c>
      <c r="F471" s="12" t="str">
        <f>_xlfn.XLOOKUP(raw_data_23[[#This Row],[Location]],Table2[Shop name],Table2[Category],"OCCATIONAL",0,1)</f>
        <v>TRAVEL</v>
      </c>
    </row>
    <row r="472" spans="1:6" x14ac:dyDescent="0.2">
      <c r="A472" s="7">
        <v>45942</v>
      </c>
      <c r="B472" s="2" t="str">
        <f t="shared" si="7"/>
        <v>October</v>
      </c>
      <c r="C472" s="2" t="s">
        <v>113</v>
      </c>
      <c r="D472" s="2" t="s">
        <v>19</v>
      </c>
      <c r="E472">
        <v>47</v>
      </c>
      <c r="F472" s="12" t="str">
        <f>_xlfn.XLOOKUP(raw_data_23[[#This Row],[Location]],Table2[Shop name],Table2[Category],"OCCATIONAL",0,1)</f>
        <v>FOOD</v>
      </c>
    </row>
    <row r="473" spans="1:6" x14ac:dyDescent="0.2">
      <c r="A473" s="7">
        <v>45942</v>
      </c>
      <c r="B473" s="2" t="str">
        <f t="shared" si="7"/>
        <v>October</v>
      </c>
      <c r="C473" s="2" t="s">
        <v>38</v>
      </c>
      <c r="D473" s="2" t="s">
        <v>19</v>
      </c>
      <c r="E473">
        <v>9.99</v>
      </c>
      <c r="F473" s="12" t="str">
        <f>_xlfn.XLOOKUP(raw_data_23[[#This Row],[Location]],Table2[Shop name],Table2[Category],"OCCATIONAL",0,1)</f>
        <v>GROCERIES</v>
      </c>
    </row>
    <row r="474" spans="1:6" x14ac:dyDescent="0.2">
      <c r="A474" s="7">
        <v>45943</v>
      </c>
      <c r="B474" s="2" t="str">
        <f t="shared" si="7"/>
        <v>October</v>
      </c>
      <c r="C474" s="2" t="s">
        <v>21</v>
      </c>
      <c r="D474" s="2" t="s">
        <v>19</v>
      </c>
      <c r="E474">
        <v>20</v>
      </c>
      <c r="F474" s="12" t="str">
        <f>_xlfn.XLOOKUP(raw_data_23[[#This Row],[Location]],Table2[Shop name],Table2[Category],"OCCATIONAL",0,1)</f>
        <v>TRAVEL</v>
      </c>
    </row>
    <row r="475" spans="1:6" x14ac:dyDescent="0.2">
      <c r="A475" s="7">
        <v>45944</v>
      </c>
      <c r="B475" s="2" t="str">
        <f t="shared" si="7"/>
        <v>October</v>
      </c>
      <c r="C475" s="2" t="s">
        <v>61</v>
      </c>
      <c r="D475" s="2" t="s">
        <v>19</v>
      </c>
      <c r="E475">
        <v>22</v>
      </c>
      <c r="F475" s="12" t="str">
        <f>_xlfn.XLOOKUP(raw_data_23[[#This Row],[Location]],Table2[Shop name],Table2[Category],"OCCATIONAL",0,1)</f>
        <v>OCCATIONAL</v>
      </c>
    </row>
    <row r="476" spans="1:6" x14ac:dyDescent="0.2">
      <c r="A476" s="7">
        <v>45944</v>
      </c>
      <c r="B476" s="2" t="str">
        <f t="shared" si="7"/>
        <v>October</v>
      </c>
      <c r="C476" s="2" t="s">
        <v>40</v>
      </c>
      <c r="D476" s="2" t="s">
        <v>19</v>
      </c>
      <c r="E476">
        <v>30</v>
      </c>
      <c r="F476" s="12" t="str">
        <f>_xlfn.XLOOKUP(raw_data_23[[#This Row],[Location]],Table2[Shop name],Table2[Category],"OCCATIONAL",0,1)</f>
        <v>GROCERIES</v>
      </c>
    </row>
    <row r="477" spans="1:6" x14ac:dyDescent="0.2">
      <c r="A477" s="7">
        <v>45944</v>
      </c>
      <c r="B477" s="2" t="str">
        <f t="shared" si="7"/>
        <v>October</v>
      </c>
      <c r="C477" s="2" t="s">
        <v>103</v>
      </c>
      <c r="D477" s="2" t="s">
        <v>19</v>
      </c>
      <c r="E477">
        <v>97.3</v>
      </c>
      <c r="F477" s="12" t="str">
        <f>_xlfn.XLOOKUP(raw_data_23[[#This Row],[Location]],Table2[Shop name],Table2[Category],"OCCATIONAL",0,1)</f>
        <v>PHARMACY</v>
      </c>
    </row>
    <row r="478" spans="1:6" x14ac:dyDescent="0.2">
      <c r="A478" s="7">
        <v>45944</v>
      </c>
      <c r="B478" s="2" t="str">
        <f t="shared" si="7"/>
        <v>October</v>
      </c>
      <c r="C478" s="2" t="s">
        <v>109</v>
      </c>
      <c r="D478" s="2" t="s">
        <v>19</v>
      </c>
      <c r="E478">
        <v>27.49</v>
      </c>
      <c r="F478" s="12" t="str">
        <f>_xlfn.XLOOKUP(raw_data_23[[#This Row],[Location]],Table2[Shop name],Table2[Category],"OCCATIONAL",0,1)</f>
        <v>PHARMACY</v>
      </c>
    </row>
    <row r="479" spans="1:6" x14ac:dyDescent="0.2">
      <c r="A479" s="7">
        <v>45944</v>
      </c>
      <c r="B479" s="2" t="str">
        <f t="shared" si="7"/>
        <v>October</v>
      </c>
      <c r="C479" s="2" t="s">
        <v>105</v>
      </c>
      <c r="D479" s="2" t="s">
        <v>19</v>
      </c>
      <c r="E479">
        <v>15.99</v>
      </c>
      <c r="F479" s="12" t="str">
        <f>_xlfn.XLOOKUP(raw_data_23[[#This Row],[Location]],Table2[Shop name],Table2[Category],"OCCATIONAL",0,1)</f>
        <v>HOME NEEDS</v>
      </c>
    </row>
    <row r="480" spans="1:6" x14ac:dyDescent="0.2">
      <c r="A480" s="7">
        <v>45944</v>
      </c>
      <c r="B480" s="2" t="str">
        <f t="shared" si="7"/>
        <v>October</v>
      </c>
      <c r="C480" s="2" t="s">
        <v>51</v>
      </c>
      <c r="D480" s="2" t="s">
        <v>19</v>
      </c>
      <c r="E480">
        <v>87.44</v>
      </c>
      <c r="F480" s="12" t="str">
        <f>_xlfn.XLOOKUP(raw_data_23[[#This Row],[Location]],Table2[Shop name],Table2[Category],"OCCATIONAL",0,1)</f>
        <v>GROCERIES</v>
      </c>
    </row>
    <row r="481" spans="1:6" x14ac:dyDescent="0.2">
      <c r="A481" s="7">
        <v>45944</v>
      </c>
      <c r="B481" s="2" t="str">
        <f t="shared" si="7"/>
        <v>October</v>
      </c>
      <c r="C481" s="2" t="s">
        <v>56</v>
      </c>
      <c r="D481" s="2" t="s">
        <v>19</v>
      </c>
      <c r="E481">
        <v>5.4</v>
      </c>
      <c r="F481" s="12" t="str">
        <f>_xlfn.XLOOKUP(raw_data_23[[#This Row],[Location]],Table2[Shop name],Table2[Category],"OCCATIONAL",0,1)</f>
        <v>HOME NEEDS</v>
      </c>
    </row>
    <row r="482" spans="1:6" x14ac:dyDescent="0.2">
      <c r="A482" s="7">
        <v>45944</v>
      </c>
      <c r="B482" s="2" t="str">
        <f t="shared" si="7"/>
        <v>October</v>
      </c>
      <c r="C482" s="2" t="s">
        <v>31</v>
      </c>
      <c r="D482" s="2" t="s">
        <v>9</v>
      </c>
      <c r="E482">
        <v>54.39</v>
      </c>
      <c r="F482" s="12" t="str">
        <f>_xlfn.XLOOKUP(raw_data_23[[#This Row],[Location]],Table2[Shop name],Table2[Category],"OCCATIONAL",0,1)</f>
        <v>FOOD DELIVERY</v>
      </c>
    </row>
    <row r="483" spans="1:6" x14ac:dyDescent="0.2">
      <c r="A483" s="7">
        <v>45944</v>
      </c>
      <c r="B483" s="2" t="str">
        <f t="shared" si="7"/>
        <v>October</v>
      </c>
      <c r="C483" s="2" t="s">
        <v>34</v>
      </c>
      <c r="D483" s="2" t="s">
        <v>4</v>
      </c>
      <c r="E483">
        <v>33</v>
      </c>
      <c r="F483" s="12" t="str">
        <f>_xlfn.XLOOKUP(raw_data_23[[#This Row],[Location]],Table2[Shop name],Table2[Category],"OCCATIONAL",0,1)</f>
        <v>TRAVEL</v>
      </c>
    </row>
    <row r="484" spans="1:6" x14ac:dyDescent="0.2">
      <c r="A484" s="7">
        <v>45944</v>
      </c>
      <c r="B484" s="2" t="str">
        <f t="shared" si="7"/>
        <v>October</v>
      </c>
      <c r="C484" s="2" t="s">
        <v>160</v>
      </c>
      <c r="D484" s="2" t="s">
        <v>19</v>
      </c>
      <c r="E484">
        <v>18.38</v>
      </c>
      <c r="F484" s="12" t="str">
        <f>_xlfn.XLOOKUP(raw_data_23[[#This Row],[Location]],Table2[Shop name],Table2[Category],"OCCATIONAL",0,1)</f>
        <v>COFFEE SHOP</v>
      </c>
    </row>
    <row r="485" spans="1:6" x14ac:dyDescent="0.2">
      <c r="A485" s="7">
        <v>45944</v>
      </c>
      <c r="B485" s="2" t="str">
        <f t="shared" si="7"/>
        <v>October</v>
      </c>
      <c r="C485" s="2" t="s">
        <v>37</v>
      </c>
      <c r="D485" s="2" t="s">
        <v>19</v>
      </c>
      <c r="E485">
        <v>41.73</v>
      </c>
      <c r="F485" s="12" t="str">
        <f>_xlfn.XLOOKUP(raw_data_23[[#This Row],[Location]],Table2[Shop name],Table2[Category],"OCCATIONAL",0,1)</f>
        <v>GROCERIES</v>
      </c>
    </row>
    <row r="486" spans="1:6" x14ac:dyDescent="0.2">
      <c r="A486" s="7">
        <v>45944</v>
      </c>
      <c r="B486" s="2" t="str">
        <f t="shared" si="7"/>
        <v>October</v>
      </c>
      <c r="C486" s="2" t="s">
        <v>154</v>
      </c>
      <c r="D486" s="2" t="s">
        <v>19</v>
      </c>
      <c r="E486">
        <v>19.2</v>
      </c>
      <c r="F486" s="12" t="str">
        <f>_xlfn.XLOOKUP(raw_data_23[[#This Row],[Location]],Table2[Shop name],Table2[Category],"OCCATIONAL",0,1)</f>
        <v>TRAVEL</v>
      </c>
    </row>
    <row r="487" spans="1:6" x14ac:dyDescent="0.2">
      <c r="A487" s="7">
        <v>45945</v>
      </c>
      <c r="B487" s="2" t="str">
        <f t="shared" si="7"/>
        <v>October</v>
      </c>
      <c r="C487" s="2" t="s">
        <v>108</v>
      </c>
      <c r="D487" s="2" t="s">
        <v>19</v>
      </c>
      <c r="E487">
        <v>22.99</v>
      </c>
      <c r="F487" s="12" t="str">
        <f>_xlfn.XLOOKUP(raw_data_23[[#This Row],[Location]],Table2[Shop name],Table2[Category],"OCCATIONAL",0,1)</f>
        <v>FOOD</v>
      </c>
    </row>
    <row r="488" spans="1:6" x14ac:dyDescent="0.2">
      <c r="A488" s="7">
        <v>45945</v>
      </c>
      <c r="B488" s="2" t="str">
        <f t="shared" si="7"/>
        <v>October</v>
      </c>
      <c r="C488" s="2" t="s">
        <v>130</v>
      </c>
      <c r="D488" s="2" t="s">
        <v>15</v>
      </c>
      <c r="E488">
        <v>72.959999999999994</v>
      </c>
      <c r="F488" s="12" t="str">
        <f>_xlfn.XLOOKUP(raw_data_23[[#This Row],[Location]],Table2[Shop name],Table2[Category],"OCCATIONAL",0,1)</f>
        <v>TRAVEL</v>
      </c>
    </row>
    <row r="489" spans="1:6" x14ac:dyDescent="0.2">
      <c r="A489" s="7">
        <v>45945</v>
      </c>
      <c r="B489" s="2" t="str">
        <f t="shared" si="7"/>
        <v>October</v>
      </c>
      <c r="C489" s="2" t="s">
        <v>30</v>
      </c>
      <c r="D489" s="2" t="s">
        <v>9</v>
      </c>
      <c r="E489">
        <v>61.94</v>
      </c>
      <c r="F489" s="12" t="str">
        <f>_xlfn.XLOOKUP(raw_data_23[[#This Row],[Location]],Table2[Shop name],Table2[Category],"OCCATIONAL",0,1)</f>
        <v>TRAVEL</v>
      </c>
    </row>
    <row r="490" spans="1:6" x14ac:dyDescent="0.2">
      <c r="A490" s="7">
        <v>45968</v>
      </c>
      <c r="B490" s="2" t="str">
        <f t="shared" si="7"/>
        <v>November</v>
      </c>
      <c r="C490" s="2" t="s">
        <v>32</v>
      </c>
      <c r="D490" s="2" t="s">
        <v>19</v>
      </c>
      <c r="E490">
        <v>996.93</v>
      </c>
      <c r="F490" s="12" t="str">
        <f>_xlfn.XLOOKUP(raw_data_23[[#This Row],[Location]],Table2[Shop name],Table2[Category],"OCCATIONAL",0,1)</f>
        <v>HOME NEEDS</v>
      </c>
    </row>
    <row r="491" spans="1:6" x14ac:dyDescent="0.2">
      <c r="A491" s="7">
        <v>45968</v>
      </c>
      <c r="B491" s="2" t="str">
        <f t="shared" si="7"/>
        <v>November</v>
      </c>
      <c r="C491" s="2" t="s">
        <v>7</v>
      </c>
      <c r="D491" s="2" t="s">
        <v>19</v>
      </c>
      <c r="E491">
        <v>12</v>
      </c>
      <c r="F491" s="12" t="str">
        <f>_xlfn.XLOOKUP(raw_data_23[[#This Row],[Location]],Table2[Shop name],Table2[Category],"OCCATIONAL",0,1)</f>
        <v>OCCATIONAL</v>
      </c>
    </row>
    <row r="492" spans="1:6" x14ac:dyDescent="0.2">
      <c r="A492" s="7">
        <v>45978</v>
      </c>
      <c r="B492" s="2" t="str">
        <f t="shared" si="7"/>
        <v>November</v>
      </c>
      <c r="C492" s="2" t="s">
        <v>30</v>
      </c>
      <c r="D492" s="2" t="s">
        <v>9</v>
      </c>
      <c r="E492">
        <v>29.16</v>
      </c>
      <c r="F492" s="12" t="str">
        <f>_xlfn.XLOOKUP(raw_data_23[[#This Row],[Location]],Table2[Shop name],Table2[Category],"OCCATIONAL",0,1)</f>
        <v>TRAVEL</v>
      </c>
    </row>
    <row r="493" spans="1:6" x14ac:dyDescent="0.2">
      <c r="A493" s="7">
        <v>45978</v>
      </c>
      <c r="B493" s="2" t="str">
        <f t="shared" si="7"/>
        <v>November</v>
      </c>
      <c r="C493" s="2" t="s">
        <v>31</v>
      </c>
      <c r="D493" s="2" t="s">
        <v>9</v>
      </c>
      <c r="E493">
        <v>71.05</v>
      </c>
      <c r="F493" s="12" t="str">
        <f>_xlfn.XLOOKUP(raw_data_23[[#This Row],[Location]],Table2[Shop name],Table2[Category],"OCCATIONAL",0,1)</f>
        <v>FOOD DELIVERY</v>
      </c>
    </row>
    <row r="494" spans="1:6" x14ac:dyDescent="0.2">
      <c r="A494" s="7">
        <v>45978</v>
      </c>
      <c r="B494" s="2" t="str">
        <f t="shared" si="7"/>
        <v>November</v>
      </c>
      <c r="C494" s="2" t="s">
        <v>53</v>
      </c>
      <c r="D494" s="2" t="s">
        <v>19</v>
      </c>
      <c r="E494">
        <v>48.85</v>
      </c>
      <c r="F494" s="12" t="str">
        <f>_xlfn.XLOOKUP(raw_data_23[[#This Row],[Location]],Table2[Shop name],Table2[Category],"OCCATIONAL",0,1)</f>
        <v>HOME NEEDS</v>
      </c>
    </row>
    <row r="495" spans="1:6" x14ac:dyDescent="0.2">
      <c r="A495" s="7">
        <v>45978</v>
      </c>
      <c r="B495" s="2" t="str">
        <f t="shared" si="7"/>
        <v>November</v>
      </c>
      <c r="C495" s="2" t="s">
        <v>84</v>
      </c>
      <c r="D495" s="2" t="s">
        <v>19</v>
      </c>
      <c r="E495">
        <v>35</v>
      </c>
      <c r="F495" s="12" t="str">
        <f>_xlfn.XLOOKUP(raw_data_23[[#This Row],[Location]],Table2[Shop name],Table2[Category],"OCCATIONAL",0,1)</f>
        <v>CLOTHING</v>
      </c>
    </row>
    <row r="496" spans="1:6" x14ac:dyDescent="0.2">
      <c r="A496" s="7">
        <v>45978</v>
      </c>
      <c r="B496" s="2" t="str">
        <f t="shared" si="7"/>
        <v>November</v>
      </c>
      <c r="C496" s="2" t="s">
        <v>84</v>
      </c>
      <c r="D496" s="2" t="s">
        <v>19</v>
      </c>
      <c r="E496">
        <v>12</v>
      </c>
      <c r="F496" s="12" t="str">
        <f>_xlfn.XLOOKUP(raw_data_23[[#This Row],[Location]],Table2[Shop name],Table2[Category],"OCCATIONAL",0,1)</f>
        <v>CLOTHING</v>
      </c>
    </row>
    <row r="497" spans="1:6" x14ac:dyDescent="0.2">
      <c r="A497" s="7">
        <v>45978</v>
      </c>
      <c r="B497" s="2" t="str">
        <f t="shared" si="7"/>
        <v>November</v>
      </c>
      <c r="C497" s="2" t="s">
        <v>37</v>
      </c>
      <c r="D497" s="2" t="s">
        <v>19</v>
      </c>
      <c r="E497">
        <v>307.27</v>
      </c>
      <c r="F497" s="12" t="str">
        <f>_xlfn.XLOOKUP(raw_data_23[[#This Row],[Location]],Table2[Shop name],Table2[Category],"OCCATIONAL",0,1)</f>
        <v>GROCERIES</v>
      </c>
    </row>
    <row r="498" spans="1:6" x14ac:dyDescent="0.2">
      <c r="A498" s="7">
        <v>45980</v>
      </c>
      <c r="B498" s="2" t="str">
        <f t="shared" si="7"/>
        <v>November</v>
      </c>
      <c r="C498" s="2" t="s">
        <v>21</v>
      </c>
      <c r="D498" s="2" t="s">
        <v>19</v>
      </c>
      <c r="E498">
        <v>20</v>
      </c>
      <c r="F498" s="12" t="str">
        <f>_xlfn.XLOOKUP(raw_data_23[[#This Row],[Location]],Table2[Shop name],Table2[Category],"OCCATIONAL",0,1)</f>
        <v>TRAVEL</v>
      </c>
    </row>
    <row r="499" spans="1:6" x14ac:dyDescent="0.2">
      <c r="A499" s="7">
        <v>45980</v>
      </c>
      <c r="B499" s="2" t="str">
        <f t="shared" si="7"/>
        <v>November</v>
      </c>
      <c r="C499" s="2" t="s">
        <v>34</v>
      </c>
      <c r="D499" s="2" t="s">
        <v>4</v>
      </c>
      <c r="E499">
        <v>33</v>
      </c>
      <c r="F499" s="12" t="str">
        <f>_xlfn.XLOOKUP(raw_data_23[[#This Row],[Location]],Table2[Shop name],Table2[Category],"OCCATIONAL",0,1)</f>
        <v>TRAVEL</v>
      </c>
    </row>
    <row r="500" spans="1:6" x14ac:dyDescent="0.2">
      <c r="A500" s="7">
        <v>45980</v>
      </c>
      <c r="B500" s="2" t="str">
        <f t="shared" si="7"/>
        <v>November</v>
      </c>
      <c r="C500" s="2" t="s">
        <v>47</v>
      </c>
      <c r="D500" s="2" t="s">
        <v>19</v>
      </c>
      <c r="E500">
        <v>7.38</v>
      </c>
      <c r="F500" s="12" t="str">
        <f>_xlfn.XLOOKUP(raw_data_23[[#This Row],[Location]],Table2[Shop name],Table2[Category],"OCCATIONAL",0,1)</f>
        <v>GROCERIES</v>
      </c>
    </row>
    <row r="501" spans="1:6" x14ac:dyDescent="0.2">
      <c r="A501" s="7">
        <v>45981</v>
      </c>
      <c r="B501" s="2" t="str">
        <f t="shared" si="7"/>
        <v>November</v>
      </c>
      <c r="C501" s="2" t="s">
        <v>51</v>
      </c>
      <c r="D501" s="2" t="s">
        <v>19</v>
      </c>
      <c r="E501">
        <v>184.03</v>
      </c>
      <c r="F501" s="12" t="str">
        <f>_xlfn.XLOOKUP(raw_data_23[[#This Row],[Location]],Table2[Shop name],Table2[Category],"OCCATIONAL",0,1)</f>
        <v>GROCERIES</v>
      </c>
    </row>
    <row r="502" spans="1:6" x14ac:dyDescent="0.2">
      <c r="A502" s="7">
        <v>45981</v>
      </c>
      <c r="B502" s="2" t="str">
        <f t="shared" si="7"/>
        <v>November</v>
      </c>
      <c r="C502" s="2" t="s">
        <v>131</v>
      </c>
      <c r="D502" s="2" t="s">
        <v>19</v>
      </c>
      <c r="E502">
        <v>42.21</v>
      </c>
      <c r="F502" s="12" t="str">
        <f>_xlfn.XLOOKUP(raw_data_23[[#This Row],[Location]],Table2[Shop name],Table2[Category],"OCCATIONAL",0,1)</f>
        <v>OCCATIONAL</v>
      </c>
    </row>
    <row r="503" spans="1:6" x14ac:dyDescent="0.2">
      <c r="A503" s="7">
        <v>45982</v>
      </c>
      <c r="B503" s="2" t="str">
        <f t="shared" si="7"/>
        <v>November</v>
      </c>
      <c r="C503" s="2" t="s">
        <v>51</v>
      </c>
      <c r="D503" s="2" t="s">
        <v>19</v>
      </c>
      <c r="E503">
        <v>23.99</v>
      </c>
      <c r="F503" s="12" t="str">
        <f>_xlfn.XLOOKUP(raw_data_23[[#This Row],[Location]],Table2[Shop name],Table2[Category],"OCCATIONAL",0,1)</f>
        <v>GROCERIES</v>
      </c>
    </row>
    <row r="504" spans="1:6" x14ac:dyDescent="0.2">
      <c r="A504" s="7">
        <v>45982</v>
      </c>
      <c r="B504" s="2" t="str">
        <f t="shared" si="7"/>
        <v>November</v>
      </c>
      <c r="C504" s="2" t="s">
        <v>21</v>
      </c>
      <c r="D504" s="2" t="s">
        <v>19</v>
      </c>
      <c r="E504">
        <v>20</v>
      </c>
      <c r="F504" s="12" t="str">
        <f>_xlfn.XLOOKUP(raw_data_23[[#This Row],[Location]],Table2[Shop name],Table2[Category],"OCCATIONAL",0,1)</f>
        <v>TRAVEL</v>
      </c>
    </row>
    <row r="505" spans="1:6" x14ac:dyDescent="0.2">
      <c r="A505" s="7">
        <v>45982</v>
      </c>
      <c r="B505" s="2" t="str">
        <f t="shared" si="7"/>
        <v>November</v>
      </c>
      <c r="C505" s="2" t="s">
        <v>37</v>
      </c>
      <c r="D505" s="2" t="s">
        <v>19</v>
      </c>
      <c r="E505">
        <v>174.51</v>
      </c>
      <c r="F505" s="12" t="str">
        <f>_xlfn.XLOOKUP(raw_data_23[[#This Row],[Location]],Table2[Shop name],Table2[Category],"OCCATIONAL",0,1)</f>
        <v>GROCERIES</v>
      </c>
    </row>
    <row r="506" spans="1:6" x14ac:dyDescent="0.2">
      <c r="A506" s="7">
        <v>45983</v>
      </c>
      <c r="B506" s="2" t="str">
        <f t="shared" si="7"/>
        <v>November</v>
      </c>
      <c r="C506" s="2" t="s">
        <v>51</v>
      </c>
      <c r="D506" s="2" t="s">
        <v>19</v>
      </c>
      <c r="E506">
        <v>13.98</v>
      </c>
      <c r="F506" s="12" t="str">
        <f>_xlfn.XLOOKUP(raw_data_23[[#This Row],[Location]],Table2[Shop name],Table2[Category],"OCCATIONAL",0,1)</f>
        <v>GROCERIES</v>
      </c>
    </row>
    <row r="507" spans="1:6" x14ac:dyDescent="0.2">
      <c r="A507" s="7">
        <v>45983</v>
      </c>
      <c r="B507" s="2" t="str">
        <f t="shared" si="7"/>
        <v>November</v>
      </c>
      <c r="C507" s="2" t="s">
        <v>40</v>
      </c>
      <c r="D507" s="2" t="s">
        <v>19</v>
      </c>
      <c r="E507">
        <v>76</v>
      </c>
      <c r="F507" s="12" t="str">
        <f>_xlfn.XLOOKUP(raw_data_23[[#This Row],[Location]],Table2[Shop name],Table2[Category],"OCCATIONAL",0,1)</f>
        <v>GROCERIES</v>
      </c>
    </row>
    <row r="508" spans="1:6" x14ac:dyDescent="0.2">
      <c r="A508" s="7">
        <v>45983</v>
      </c>
      <c r="B508" s="2" t="str">
        <f t="shared" si="7"/>
        <v>November</v>
      </c>
      <c r="C508" s="2" t="s">
        <v>51</v>
      </c>
      <c r="D508" s="2" t="s">
        <v>19</v>
      </c>
      <c r="E508">
        <v>12.48</v>
      </c>
      <c r="F508" s="12" t="str">
        <f>_xlfn.XLOOKUP(raw_data_23[[#This Row],[Location]],Table2[Shop name],Table2[Category],"OCCATIONAL",0,1)</f>
        <v>GROCERIES</v>
      </c>
    </row>
    <row r="509" spans="1:6" x14ac:dyDescent="0.2">
      <c r="A509" s="7">
        <v>45983</v>
      </c>
      <c r="B509" s="2" t="str">
        <f t="shared" si="7"/>
        <v>November</v>
      </c>
      <c r="C509" s="2" t="s">
        <v>56</v>
      </c>
      <c r="D509" s="2" t="s">
        <v>19</v>
      </c>
      <c r="E509">
        <v>63.1</v>
      </c>
      <c r="F509" s="12" t="str">
        <f>_xlfn.XLOOKUP(raw_data_23[[#This Row],[Location]],Table2[Shop name],Table2[Category],"OCCATIONAL",0,1)</f>
        <v>HOME NEEDS</v>
      </c>
    </row>
    <row r="510" spans="1:6" x14ac:dyDescent="0.2">
      <c r="A510" s="7">
        <v>45983</v>
      </c>
      <c r="B510" s="2" t="str">
        <f t="shared" si="7"/>
        <v>November</v>
      </c>
      <c r="C510" s="2" t="s">
        <v>21</v>
      </c>
      <c r="D510" s="2" t="s">
        <v>19</v>
      </c>
      <c r="E510">
        <v>20</v>
      </c>
      <c r="F510" s="12" t="str">
        <f>_xlfn.XLOOKUP(raw_data_23[[#This Row],[Location]],Table2[Shop name],Table2[Category],"OCCATIONAL",0,1)</f>
        <v>TRAVEL</v>
      </c>
    </row>
    <row r="511" spans="1:6" x14ac:dyDescent="0.2">
      <c r="A511" s="7">
        <v>45983</v>
      </c>
      <c r="B511" s="2" t="str">
        <f t="shared" si="7"/>
        <v>November</v>
      </c>
      <c r="C511" s="2" t="s">
        <v>34</v>
      </c>
      <c r="D511" s="2" t="s">
        <v>4</v>
      </c>
      <c r="E511">
        <v>33</v>
      </c>
      <c r="F511" s="12" t="str">
        <f>_xlfn.XLOOKUP(raw_data_23[[#This Row],[Location]],Table2[Shop name],Table2[Category],"OCCATIONAL",0,1)</f>
        <v>TRAVEL</v>
      </c>
    </row>
    <row r="512" spans="1:6" x14ac:dyDescent="0.2">
      <c r="A512" s="7">
        <v>45983</v>
      </c>
      <c r="B512" s="2" t="str">
        <f t="shared" si="7"/>
        <v>November</v>
      </c>
      <c r="C512" s="2" t="s">
        <v>84</v>
      </c>
      <c r="D512" s="2" t="s">
        <v>19</v>
      </c>
      <c r="E512">
        <v>70.75</v>
      </c>
      <c r="F512" s="12" t="str">
        <f>_xlfn.XLOOKUP(raw_data_23[[#This Row],[Location]],Table2[Shop name],Table2[Category],"OCCATIONAL",0,1)</f>
        <v>CLOTHING</v>
      </c>
    </row>
    <row r="513" spans="1:6" x14ac:dyDescent="0.2">
      <c r="A513" s="7">
        <v>45983</v>
      </c>
      <c r="B513" s="2" t="str">
        <f t="shared" si="7"/>
        <v>November</v>
      </c>
      <c r="C513" s="2" t="s">
        <v>84</v>
      </c>
      <c r="D513" s="2" t="s">
        <v>19</v>
      </c>
      <c r="E513">
        <v>38.75</v>
      </c>
      <c r="F513" s="12" t="str">
        <f>_xlfn.XLOOKUP(raw_data_23[[#This Row],[Location]],Table2[Shop name],Table2[Category],"OCCATIONAL",0,1)</f>
        <v>CLOTHING</v>
      </c>
    </row>
    <row r="514" spans="1:6" x14ac:dyDescent="0.2">
      <c r="A514" s="7">
        <v>45983</v>
      </c>
      <c r="B514" s="2" t="str">
        <f t="shared" ref="B514:B577" si="8">TEXT(A514,"mmmm")</f>
        <v>November</v>
      </c>
      <c r="C514" s="2" t="s">
        <v>70</v>
      </c>
      <c r="D514" s="2" t="s">
        <v>19</v>
      </c>
      <c r="E514">
        <v>12.92</v>
      </c>
      <c r="F514" s="12" t="str">
        <f>_xlfn.XLOOKUP(raw_data_23[[#This Row],[Location]],Table2[Shop name],Table2[Category],"OCCATIONAL",0,1)</f>
        <v>GROCERIES</v>
      </c>
    </row>
    <row r="515" spans="1:6" x14ac:dyDescent="0.2">
      <c r="A515" s="7">
        <v>45983</v>
      </c>
      <c r="B515" s="2" t="str">
        <f t="shared" si="8"/>
        <v>November</v>
      </c>
      <c r="C515" s="2" t="s">
        <v>86</v>
      </c>
      <c r="D515" s="2" t="s">
        <v>19</v>
      </c>
      <c r="E515">
        <v>28.5</v>
      </c>
      <c r="F515" s="12" t="str">
        <f>_xlfn.XLOOKUP(raw_data_23[[#This Row],[Location]],Table2[Shop name],Table2[Category],"OCCATIONAL",0,1)</f>
        <v>HOME NEEDS</v>
      </c>
    </row>
    <row r="516" spans="1:6" x14ac:dyDescent="0.2">
      <c r="A516" s="7">
        <v>45985</v>
      </c>
      <c r="B516" s="2" t="str">
        <f t="shared" si="8"/>
        <v>November</v>
      </c>
      <c r="C516" s="2" t="s">
        <v>132</v>
      </c>
      <c r="D516" s="2" t="s">
        <v>19</v>
      </c>
      <c r="E516">
        <v>169</v>
      </c>
      <c r="F516" s="12" t="str">
        <f>_xlfn.XLOOKUP(raw_data_23[[#This Row],[Location]],Table2[Shop name],Table2[Category],"OCCATIONAL",0,1)</f>
        <v>TRAVEL</v>
      </c>
    </row>
    <row r="517" spans="1:6" x14ac:dyDescent="0.2">
      <c r="A517" s="7">
        <v>45985</v>
      </c>
      <c r="B517" s="2" t="str">
        <f t="shared" si="8"/>
        <v>November</v>
      </c>
      <c r="C517" s="2" t="s">
        <v>132</v>
      </c>
      <c r="D517" s="2" t="s">
        <v>19</v>
      </c>
      <c r="E517">
        <v>169</v>
      </c>
      <c r="F517" s="12" t="str">
        <f>_xlfn.XLOOKUP(raw_data_23[[#This Row],[Location]],Table2[Shop name],Table2[Category],"OCCATIONAL",0,1)</f>
        <v>TRAVEL</v>
      </c>
    </row>
    <row r="518" spans="1:6" x14ac:dyDescent="0.2">
      <c r="A518" s="7">
        <v>45985</v>
      </c>
      <c r="B518" s="2" t="str">
        <f t="shared" si="8"/>
        <v>November</v>
      </c>
      <c r="C518" s="2" t="s">
        <v>37</v>
      </c>
      <c r="D518" s="2" t="s">
        <v>19</v>
      </c>
      <c r="E518">
        <v>215.22</v>
      </c>
      <c r="F518" s="12" t="str">
        <f>_xlfn.XLOOKUP(raw_data_23[[#This Row],[Location]],Table2[Shop name],Table2[Category],"OCCATIONAL",0,1)</f>
        <v>GROCERIES</v>
      </c>
    </row>
    <row r="519" spans="1:6" x14ac:dyDescent="0.2">
      <c r="A519" s="7">
        <v>45986</v>
      </c>
      <c r="B519" s="2" t="str">
        <f t="shared" si="8"/>
        <v>November</v>
      </c>
      <c r="C519" s="2" t="s">
        <v>51</v>
      </c>
      <c r="D519" s="2" t="s">
        <v>19</v>
      </c>
      <c r="E519">
        <v>71.010000000000005</v>
      </c>
      <c r="F519" s="12" t="str">
        <f>_xlfn.XLOOKUP(raw_data_23[[#This Row],[Location]],Table2[Shop name],Table2[Category],"OCCATIONAL",0,1)</f>
        <v>GROCERIES</v>
      </c>
    </row>
    <row r="520" spans="1:6" x14ac:dyDescent="0.2">
      <c r="A520" s="7">
        <v>45986</v>
      </c>
      <c r="B520" s="2" t="str">
        <f t="shared" si="8"/>
        <v>November</v>
      </c>
      <c r="C520" s="2" t="s">
        <v>70</v>
      </c>
      <c r="D520" s="2" t="s">
        <v>19</v>
      </c>
      <c r="E520">
        <v>16</v>
      </c>
      <c r="F520" s="12" t="str">
        <f>_xlfn.XLOOKUP(raw_data_23[[#This Row],[Location]],Table2[Shop name],Table2[Category],"OCCATIONAL",0,1)</f>
        <v>GROCERIES</v>
      </c>
    </row>
    <row r="521" spans="1:6" x14ac:dyDescent="0.2">
      <c r="A521" s="7">
        <v>45987</v>
      </c>
      <c r="B521" s="2" t="str">
        <f t="shared" si="8"/>
        <v>November</v>
      </c>
      <c r="C521" s="2" t="s">
        <v>47</v>
      </c>
      <c r="D521" s="2" t="s">
        <v>19</v>
      </c>
      <c r="E521">
        <v>9.2899999999999991</v>
      </c>
      <c r="F521" s="12" t="str">
        <f>_xlfn.XLOOKUP(raw_data_23[[#This Row],[Location]],Table2[Shop name],Table2[Category],"OCCATIONAL",0,1)</f>
        <v>GROCERIES</v>
      </c>
    </row>
    <row r="522" spans="1:6" x14ac:dyDescent="0.2">
      <c r="A522" s="7">
        <v>45987</v>
      </c>
      <c r="B522" s="2" t="str">
        <f t="shared" si="8"/>
        <v>November</v>
      </c>
      <c r="C522" s="2" t="s">
        <v>131</v>
      </c>
      <c r="D522" s="2" t="s">
        <v>19</v>
      </c>
      <c r="E522">
        <v>38.21</v>
      </c>
      <c r="F522" s="12" t="str">
        <f>_xlfn.XLOOKUP(raw_data_23[[#This Row],[Location]],Table2[Shop name],Table2[Category],"OCCATIONAL",0,1)</f>
        <v>OCCATIONAL</v>
      </c>
    </row>
    <row r="523" spans="1:6" x14ac:dyDescent="0.2">
      <c r="A523" s="7">
        <v>45989</v>
      </c>
      <c r="B523" s="2" t="str">
        <f t="shared" si="8"/>
        <v>November</v>
      </c>
      <c r="C523" s="2" t="s">
        <v>105</v>
      </c>
      <c r="D523" s="2" t="s">
        <v>19</v>
      </c>
      <c r="E523">
        <v>111.44</v>
      </c>
      <c r="F523" s="12" t="str">
        <f>_xlfn.XLOOKUP(raw_data_23[[#This Row],[Location]],Table2[Shop name],Table2[Category],"OCCATIONAL",0,1)</f>
        <v>HOME NEEDS</v>
      </c>
    </row>
    <row r="524" spans="1:6" x14ac:dyDescent="0.2">
      <c r="A524" s="7">
        <v>45989</v>
      </c>
      <c r="B524" s="2" t="str">
        <f t="shared" si="8"/>
        <v>November</v>
      </c>
      <c r="C524" s="2" t="s">
        <v>51</v>
      </c>
      <c r="D524" s="2" t="s">
        <v>19</v>
      </c>
      <c r="E524">
        <v>227.93</v>
      </c>
      <c r="F524" s="12" t="str">
        <f>_xlfn.XLOOKUP(raw_data_23[[#This Row],[Location]],Table2[Shop name],Table2[Category],"OCCATIONAL",0,1)</f>
        <v>GROCERIES</v>
      </c>
    </row>
    <row r="525" spans="1:6" x14ac:dyDescent="0.2">
      <c r="A525" s="7">
        <v>45989</v>
      </c>
      <c r="B525" s="2" t="str">
        <f t="shared" si="8"/>
        <v>November</v>
      </c>
      <c r="C525" s="2" t="s">
        <v>31</v>
      </c>
      <c r="D525" s="2" t="s">
        <v>9</v>
      </c>
      <c r="E525">
        <v>76.069999999999993</v>
      </c>
      <c r="F525" s="12" t="str">
        <f>_xlfn.XLOOKUP(raw_data_23[[#This Row],[Location]],Table2[Shop name],Table2[Category],"OCCATIONAL",0,1)</f>
        <v>FOOD DELIVERY</v>
      </c>
    </row>
    <row r="526" spans="1:6" x14ac:dyDescent="0.2">
      <c r="A526" s="7">
        <v>45990</v>
      </c>
      <c r="B526" s="2" t="str">
        <f t="shared" si="8"/>
        <v>November</v>
      </c>
      <c r="C526" s="2" t="s">
        <v>133</v>
      </c>
      <c r="D526" s="2" t="s">
        <v>19</v>
      </c>
      <c r="E526">
        <v>25.31</v>
      </c>
      <c r="F526" s="12" t="str">
        <f>_xlfn.XLOOKUP(raw_data_23[[#This Row],[Location]],Table2[Shop name],Table2[Category],"OCCATIONAL",0,1)</f>
        <v>FOOD</v>
      </c>
    </row>
    <row r="527" spans="1:6" x14ac:dyDescent="0.2">
      <c r="A527" s="7">
        <v>45990</v>
      </c>
      <c r="B527" s="2" t="str">
        <f t="shared" si="8"/>
        <v>November</v>
      </c>
      <c r="C527" s="2" t="s">
        <v>133</v>
      </c>
      <c r="D527" s="2" t="s">
        <v>19</v>
      </c>
      <c r="E527">
        <v>6</v>
      </c>
      <c r="F527" s="12" t="str">
        <f>_xlfn.XLOOKUP(raw_data_23[[#This Row],[Location]],Table2[Shop name],Table2[Category],"OCCATIONAL",0,1)</f>
        <v>FOOD</v>
      </c>
    </row>
    <row r="528" spans="1:6" x14ac:dyDescent="0.2">
      <c r="A528" s="7">
        <v>45990</v>
      </c>
      <c r="B528" s="2" t="str">
        <f t="shared" si="8"/>
        <v>November</v>
      </c>
      <c r="C528" s="2" t="s">
        <v>134</v>
      </c>
      <c r="D528" s="2" t="s">
        <v>19</v>
      </c>
      <c r="E528">
        <v>2</v>
      </c>
      <c r="F528" s="12" t="str">
        <f>_xlfn.XLOOKUP(raw_data_23[[#This Row],[Location]],Table2[Shop name],Table2[Category],"OCCATIONAL",0,1)</f>
        <v>OCCATIONAL</v>
      </c>
    </row>
    <row r="529" spans="1:6" x14ac:dyDescent="0.2">
      <c r="A529" s="7">
        <v>45990</v>
      </c>
      <c r="B529" s="2" t="str">
        <f t="shared" si="8"/>
        <v>November</v>
      </c>
      <c r="C529" s="2" t="s">
        <v>123</v>
      </c>
      <c r="D529" s="2" t="s">
        <v>19</v>
      </c>
      <c r="E529">
        <v>33.9</v>
      </c>
      <c r="F529" s="12" t="str">
        <f>_xlfn.XLOOKUP(raw_data_23[[#This Row],[Location]],Table2[Shop name],Table2[Category],"OCCATIONAL",0,1)</f>
        <v>FOOD</v>
      </c>
    </row>
    <row r="530" spans="1:6" x14ac:dyDescent="0.2">
      <c r="A530" s="7">
        <v>45990</v>
      </c>
      <c r="B530" s="2" t="str">
        <f t="shared" si="8"/>
        <v>November</v>
      </c>
      <c r="C530" s="2" t="s">
        <v>134</v>
      </c>
      <c r="D530" s="2" t="s">
        <v>19</v>
      </c>
      <c r="E530">
        <v>2</v>
      </c>
      <c r="F530" s="12" t="str">
        <f>_xlfn.XLOOKUP(raw_data_23[[#This Row],[Location]],Table2[Shop name],Table2[Category],"OCCATIONAL",0,1)</f>
        <v>OCCATIONAL</v>
      </c>
    </row>
    <row r="531" spans="1:6" x14ac:dyDescent="0.2">
      <c r="A531" s="7">
        <v>45990</v>
      </c>
      <c r="B531" s="2" t="str">
        <f t="shared" si="8"/>
        <v>November</v>
      </c>
      <c r="C531" s="2" t="s">
        <v>135</v>
      </c>
      <c r="D531" s="2" t="s">
        <v>19</v>
      </c>
      <c r="E531">
        <v>341.96</v>
      </c>
      <c r="F531" s="12" t="str">
        <f>_xlfn.XLOOKUP(raw_data_23[[#This Row],[Location]],Table2[Shop name],Table2[Category],"OCCATIONAL",0,1)</f>
        <v>HOME NEEDS</v>
      </c>
    </row>
    <row r="532" spans="1:6" x14ac:dyDescent="0.2">
      <c r="A532" s="7">
        <v>45990</v>
      </c>
      <c r="B532" s="2" t="str">
        <f t="shared" si="8"/>
        <v>November</v>
      </c>
      <c r="C532" s="2" t="s">
        <v>74</v>
      </c>
      <c r="D532" s="2" t="s">
        <v>19</v>
      </c>
      <c r="E532">
        <v>61.98</v>
      </c>
      <c r="F532" s="12" t="str">
        <f>_xlfn.XLOOKUP(raw_data_23[[#This Row],[Location]],Table2[Shop name],Table2[Category],"OCCATIONAL",0,1)</f>
        <v>CLOTHING</v>
      </c>
    </row>
    <row r="533" spans="1:6" x14ac:dyDescent="0.2">
      <c r="A533" s="7">
        <v>45990</v>
      </c>
      <c r="B533" s="2" t="str">
        <f t="shared" si="8"/>
        <v>November</v>
      </c>
      <c r="C533" s="2" t="s">
        <v>150</v>
      </c>
      <c r="D533" s="2" t="s">
        <v>19</v>
      </c>
      <c r="E533">
        <v>26.98</v>
      </c>
      <c r="F533" s="12" t="str">
        <f>_xlfn.XLOOKUP(raw_data_23[[#This Row],[Location]],Table2[Shop name],Table2[Category],"OCCATIONAL",0,1)</f>
        <v>OCCATIONAL</v>
      </c>
    </row>
    <row r="534" spans="1:6" x14ac:dyDescent="0.2">
      <c r="A534" s="7">
        <v>45990</v>
      </c>
      <c r="B534" s="2" t="str">
        <f t="shared" si="8"/>
        <v>November</v>
      </c>
      <c r="C534" s="2" t="s">
        <v>136</v>
      </c>
      <c r="D534" s="2" t="s">
        <v>16</v>
      </c>
      <c r="E534">
        <v>39.99</v>
      </c>
      <c r="F534" s="12" t="str">
        <f>_xlfn.XLOOKUP(raw_data_23[[#This Row],[Location]],Table2[Shop name],Table2[Category],"OCCATIONAL",0,1)</f>
        <v>TRAVEL</v>
      </c>
    </row>
    <row r="535" spans="1:6" x14ac:dyDescent="0.2">
      <c r="A535" s="7">
        <v>45990</v>
      </c>
      <c r="B535" s="2" t="str">
        <f t="shared" si="8"/>
        <v>November</v>
      </c>
      <c r="C535" s="2" t="s">
        <v>126</v>
      </c>
      <c r="D535" s="2" t="s">
        <v>19</v>
      </c>
      <c r="E535">
        <v>45.6</v>
      </c>
      <c r="F535" s="12" t="str">
        <f>_xlfn.XLOOKUP(raw_data_23[[#This Row],[Location]],Table2[Shop name],Table2[Category],"OCCATIONAL",0,1)</f>
        <v>FOOD DELIVERY</v>
      </c>
    </row>
    <row r="536" spans="1:6" x14ac:dyDescent="0.2">
      <c r="A536" s="7">
        <v>45990</v>
      </c>
      <c r="B536" s="2" t="str">
        <f t="shared" si="8"/>
        <v>November</v>
      </c>
      <c r="C536" s="2" t="s">
        <v>137</v>
      </c>
      <c r="D536" s="2" t="s">
        <v>19</v>
      </c>
      <c r="E536">
        <v>40.14</v>
      </c>
      <c r="F536" s="12" t="str">
        <f>_xlfn.XLOOKUP(raw_data_23[[#This Row],[Location]],Table2[Shop name],Table2[Category],"OCCATIONAL",0,1)</f>
        <v>OCCATIONAL</v>
      </c>
    </row>
    <row r="537" spans="1:6" x14ac:dyDescent="0.2">
      <c r="A537" s="7">
        <v>45990</v>
      </c>
      <c r="B537" s="2" t="str">
        <f t="shared" si="8"/>
        <v>November</v>
      </c>
      <c r="C537" s="2" t="s">
        <v>37</v>
      </c>
      <c r="D537" s="2" t="s">
        <v>19</v>
      </c>
      <c r="E537">
        <v>12.69</v>
      </c>
      <c r="F537" s="12" t="str">
        <f>_xlfn.XLOOKUP(raw_data_23[[#This Row],[Location]],Table2[Shop name],Table2[Category],"OCCATIONAL",0,1)</f>
        <v>GROCERIES</v>
      </c>
    </row>
    <row r="538" spans="1:6" x14ac:dyDescent="0.2">
      <c r="A538" s="7">
        <v>45990</v>
      </c>
      <c r="B538" s="2" t="str">
        <f t="shared" si="8"/>
        <v>November</v>
      </c>
      <c r="C538" s="2" t="s">
        <v>92</v>
      </c>
      <c r="D538" s="2" t="s">
        <v>19</v>
      </c>
      <c r="E538">
        <v>10.94</v>
      </c>
      <c r="F538" s="12" t="str">
        <f>_xlfn.XLOOKUP(raw_data_23[[#This Row],[Location]],Table2[Shop name],Table2[Category],"OCCATIONAL",0,1)</f>
        <v>HOME NEEDS</v>
      </c>
    </row>
    <row r="539" spans="1:6" x14ac:dyDescent="0.2">
      <c r="A539" s="7">
        <v>45991</v>
      </c>
      <c r="B539" s="2" t="str">
        <f t="shared" si="8"/>
        <v>November</v>
      </c>
      <c r="C539" s="2" t="s">
        <v>138</v>
      </c>
      <c r="D539" s="2" t="s">
        <v>19</v>
      </c>
      <c r="E539">
        <v>42.8</v>
      </c>
      <c r="F539" s="12" t="str">
        <f>_xlfn.XLOOKUP(raw_data_23[[#This Row],[Location]],Table2[Shop name],Table2[Category],"OCCATIONAL",0,1)</f>
        <v>FOOD DELIVERY</v>
      </c>
    </row>
    <row r="540" spans="1:6" x14ac:dyDescent="0.2">
      <c r="A540" s="7">
        <v>45991</v>
      </c>
      <c r="B540" s="2" t="str">
        <f t="shared" si="8"/>
        <v>November</v>
      </c>
      <c r="C540" s="2" t="s">
        <v>70</v>
      </c>
      <c r="D540" s="2" t="s">
        <v>19</v>
      </c>
      <c r="E540">
        <v>78.84</v>
      </c>
      <c r="F540" s="12" t="str">
        <f>_xlfn.XLOOKUP(raw_data_23[[#This Row],[Location]],Table2[Shop name],Table2[Category],"OCCATIONAL",0,1)</f>
        <v>GROCERIES</v>
      </c>
    </row>
    <row r="541" spans="1:6" x14ac:dyDescent="0.2">
      <c r="A541" s="7">
        <v>45991</v>
      </c>
      <c r="B541" s="2" t="str">
        <f t="shared" si="8"/>
        <v>November</v>
      </c>
      <c r="C541" s="2" t="s">
        <v>139</v>
      </c>
      <c r="D541" s="2" t="s">
        <v>19</v>
      </c>
      <c r="E541">
        <v>23</v>
      </c>
      <c r="F541" s="12" t="str">
        <f>_xlfn.XLOOKUP(raw_data_23[[#This Row],[Location]],Table2[Shop name],Table2[Category],"OCCATIONAL",0,1)</f>
        <v>FOOD</v>
      </c>
    </row>
    <row r="542" spans="1:6" x14ac:dyDescent="0.2">
      <c r="A542" s="7">
        <v>45992</v>
      </c>
      <c r="B542" s="2" t="str">
        <f t="shared" si="8"/>
        <v>December</v>
      </c>
      <c r="C542" s="2" t="s">
        <v>37</v>
      </c>
      <c r="D542" s="2" t="s">
        <v>19</v>
      </c>
      <c r="E542">
        <v>81.599999999999994</v>
      </c>
      <c r="F542" s="12" t="str">
        <f>_xlfn.XLOOKUP(raw_data_23[[#This Row],[Location]],Table2[Shop name],Table2[Category],"OCCATIONAL",0,1)</f>
        <v>GROCERIES</v>
      </c>
    </row>
    <row r="543" spans="1:6" x14ac:dyDescent="0.2">
      <c r="A543" s="7">
        <v>45993</v>
      </c>
      <c r="B543" s="2" t="str">
        <f t="shared" si="8"/>
        <v>December</v>
      </c>
      <c r="C543" s="2" t="s">
        <v>32</v>
      </c>
      <c r="D543" s="2" t="s">
        <v>19</v>
      </c>
      <c r="E543">
        <v>996.93</v>
      </c>
      <c r="F543" s="12" t="str">
        <f>_xlfn.XLOOKUP(raw_data_23[[#This Row],[Location]],Table2[Shop name],Table2[Category],"OCCATIONAL",0,1)</f>
        <v>HOME NEEDS</v>
      </c>
    </row>
    <row r="544" spans="1:6" x14ac:dyDescent="0.2">
      <c r="A544" s="7">
        <v>45993</v>
      </c>
      <c r="B544" s="2" t="str">
        <f t="shared" si="8"/>
        <v>December</v>
      </c>
      <c r="C544" s="2" t="s">
        <v>53</v>
      </c>
      <c r="D544" s="2" t="s">
        <v>19</v>
      </c>
      <c r="E544">
        <v>25.53</v>
      </c>
      <c r="F544" s="12" t="str">
        <f>_xlfn.XLOOKUP(raw_data_23[[#This Row],[Location]],Table2[Shop name],Table2[Category],"OCCATIONAL",0,1)</f>
        <v>HOME NEEDS</v>
      </c>
    </row>
    <row r="545" spans="1:6" x14ac:dyDescent="0.2">
      <c r="A545" s="7">
        <v>45993</v>
      </c>
      <c r="B545" s="2" t="str">
        <f t="shared" si="8"/>
        <v>December</v>
      </c>
      <c r="C545" s="2" t="s">
        <v>53</v>
      </c>
      <c r="D545" s="2" t="s">
        <v>19</v>
      </c>
      <c r="E545">
        <v>4.45</v>
      </c>
      <c r="F545" s="12" t="str">
        <f>_xlfn.XLOOKUP(raw_data_23[[#This Row],[Location]],Table2[Shop name],Table2[Category],"OCCATIONAL",0,1)</f>
        <v>HOME NEEDS</v>
      </c>
    </row>
    <row r="546" spans="1:6" x14ac:dyDescent="0.2">
      <c r="A546" s="7">
        <v>45993</v>
      </c>
      <c r="B546" s="2" t="str">
        <f t="shared" si="8"/>
        <v>December</v>
      </c>
      <c r="C546" s="2" t="s">
        <v>37</v>
      </c>
      <c r="D546" s="2" t="s">
        <v>19</v>
      </c>
      <c r="E546">
        <v>161.6</v>
      </c>
      <c r="F546" s="12" t="str">
        <f>_xlfn.XLOOKUP(raw_data_23[[#This Row],[Location]],Table2[Shop name],Table2[Category],"OCCATIONAL",0,1)</f>
        <v>GROCERIES</v>
      </c>
    </row>
    <row r="547" spans="1:6" x14ac:dyDescent="0.2">
      <c r="A547" s="7">
        <v>45994</v>
      </c>
      <c r="B547" s="2" t="str">
        <f t="shared" si="8"/>
        <v>December</v>
      </c>
      <c r="C547" s="2" t="s">
        <v>27</v>
      </c>
      <c r="D547" s="2" t="s">
        <v>19</v>
      </c>
      <c r="E547">
        <v>19.75</v>
      </c>
      <c r="F547" s="12" t="str">
        <f>_xlfn.XLOOKUP(raw_data_23[[#This Row],[Location]],Table2[Shop name],Table2[Category],"OCCATIONAL",0,1)</f>
        <v>TRAVEL</v>
      </c>
    </row>
    <row r="548" spans="1:6" x14ac:dyDescent="0.2">
      <c r="A548" s="7">
        <v>45994</v>
      </c>
      <c r="B548" s="2" t="str">
        <f t="shared" si="8"/>
        <v>December</v>
      </c>
      <c r="C548" s="2" t="s">
        <v>24</v>
      </c>
      <c r="D548" s="2" t="s">
        <v>19</v>
      </c>
      <c r="E548">
        <v>35</v>
      </c>
      <c r="F548" s="12" t="str">
        <f>_xlfn.XLOOKUP(raw_data_23[[#This Row],[Location]],Table2[Shop name],Table2[Category],"OCCATIONAL",0,1)</f>
        <v>OTHER</v>
      </c>
    </row>
    <row r="549" spans="1:6" x14ac:dyDescent="0.2">
      <c r="A549" s="7">
        <v>45994</v>
      </c>
      <c r="B549" s="2" t="str">
        <f t="shared" si="8"/>
        <v>December</v>
      </c>
      <c r="C549" s="2" t="s">
        <v>24</v>
      </c>
      <c r="D549" s="2" t="s">
        <v>19</v>
      </c>
      <c r="E549">
        <v>35</v>
      </c>
      <c r="F549" s="12" t="str">
        <f>_xlfn.XLOOKUP(raw_data_23[[#This Row],[Location]],Table2[Shop name],Table2[Category],"OCCATIONAL",0,1)</f>
        <v>OTHER</v>
      </c>
    </row>
    <row r="550" spans="1:6" x14ac:dyDescent="0.2">
      <c r="A550" s="7">
        <v>45994</v>
      </c>
      <c r="B550" s="2" t="str">
        <f t="shared" si="8"/>
        <v>December</v>
      </c>
      <c r="C550" s="2" t="s">
        <v>30</v>
      </c>
      <c r="D550" s="2" t="s">
        <v>9</v>
      </c>
      <c r="E550">
        <v>26.58</v>
      </c>
      <c r="F550" s="12" t="str">
        <f>_xlfn.XLOOKUP(raw_data_23[[#This Row],[Location]],Table2[Shop name],Table2[Category],"OCCATIONAL",0,1)</f>
        <v>TRAVEL</v>
      </c>
    </row>
    <row r="551" spans="1:6" x14ac:dyDescent="0.2">
      <c r="A551" s="7">
        <v>45994</v>
      </c>
      <c r="B551" s="2" t="str">
        <f t="shared" si="8"/>
        <v>December</v>
      </c>
      <c r="C551" s="2" t="s">
        <v>37</v>
      </c>
      <c r="D551" s="2" t="s">
        <v>19</v>
      </c>
      <c r="E551">
        <v>12.97</v>
      </c>
      <c r="F551" s="12" t="str">
        <f>_xlfn.XLOOKUP(raw_data_23[[#This Row],[Location]],Table2[Shop name],Table2[Category],"OCCATIONAL",0,1)</f>
        <v>GROCERIES</v>
      </c>
    </row>
    <row r="552" spans="1:6" x14ac:dyDescent="0.2">
      <c r="A552" s="7">
        <v>45995</v>
      </c>
      <c r="B552" s="2" t="str">
        <f t="shared" si="8"/>
        <v>December</v>
      </c>
      <c r="C552" s="2" t="s">
        <v>105</v>
      </c>
      <c r="D552" s="2" t="s">
        <v>19</v>
      </c>
      <c r="E552">
        <v>11.98</v>
      </c>
      <c r="F552" s="12" t="str">
        <f>_xlfn.XLOOKUP(raw_data_23[[#This Row],[Location]],Table2[Shop name],Table2[Category],"OCCATIONAL",0,1)</f>
        <v>HOME NEEDS</v>
      </c>
    </row>
    <row r="553" spans="1:6" x14ac:dyDescent="0.2">
      <c r="A553" s="7">
        <v>45995</v>
      </c>
      <c r="B553" s="2" t="str">
        <f t="shared" si="8"/>
        <v>December</v>
      </c>
      <c r="C553" s="2" t="s">
        <v>51</v>
      </c>
      <c r="D553" s="2" t="s">
        <v>19</v>
      </c>
      <c r="E553">
        <v>127.59</v>
      </c>
      <c r="F553" s="12" t="str">
        <f>_xlfn.XLOOKUP(raw_data_23[[#This Row],[Location]],Table2[Shop name],Table2[Category],"OCCATIONAL",0,1)</f>
        <v>GROCERIES</v>
      </c>
    </row>
    <row r="554" spans="1:6" x14ac:dyDescent="0.2">
      <c r="A554" s="7">
        <v>45995</v>
      </c>
      <c r="B554" s="2" t="str">
        <f t="shared" si="8"/>
        <v>December</v>
      </c>
      <c r="C554" s="2" t="s">
        <v>51</v>
      </c>
      <c r="D554" s="2" t="s">
        <v>19</v>
      </c>
      <c r="E554">
        <v>0.79</v>
      </c>
      <c r="F554" s="12" t="str">
        <f>_xlfn.XLOOKUP(raw_data_23[[#This Row],[Location]],Table2[Shop name],Table2[Category],"OCCATIONAL",0,1)</f>
        <v>GROCERIES</v>
      </c>
    </row>
    <row r="555" spans="1:6" x14ac:dyDescent="0.2">
      <c r="A555" s="7">
        <v>45996</v>
      </c>
      <c r="B555" s="2" t="str">
        <f t="shared" si="8"/>
        <v>December</v>
      </c>
      <c r="C555" s="2" t="s">
        <v>51</v>
      </c>
      <c r="D555" s="2" t="s">
        <v>19</v>
      </c>
      <c r="E555">
        <v>97.75</v>
      </c>
      <c r="F555" s="12" t="str">
        <f>_xlfn.XLOOKUP(raw_data_23[[#This Row],[Location]],Table2[Shop name],Table2[Category],"OCCATIONAL",0,1)</f>
        <v>GROCERIES</v>
      </c>
    </row>
    <row r="556" spans="1:6" x14ac:dyDescent="0.2">
      <c r="A556" s="7">
        <v>45996</v>
      </c>
      <c r="B556" s="2" t="str">
        <f t="shared" si="8"/>
        <v>December</v>
      </c>
      <c r="C556" s="2" t="s">
        <v>28</v>
      </c>
      <c r="D556" s="2" t="s">
        <v>19</v>
      </c>
      <c r="E556">
        <v>236.6</v>
      </c>
      <c r="F556" s="12" t="str">
        <f>_xlfn.XLOOKUP(raw_data_23[[#This Row],[Location]],Table2[Shop name],Table2[Category],"OCCATIONAL",0,1)</f>
        <v>TRAVEL</v>
      </c>
    </row>
    <row r="557" spans="1:6" x14ac:dyDescent="0.2">
      <c r="A557" s="7">
        <v>45996</v>
      </c>
      <c r="B557" s="2" t="str">
        <f t="shared" si="8"/>
        <v>December</v>
      </c>
      <c r="C557" s="2" t="s">
        <v>126</v>
      </c>
      <c r="D557" s="2" t="s">
        <v>19</v>
      </c>
      <c r="E557">
        <v>65.650000000000006</v>
      </c>
      <c r="F557" s="12" t="str">
        <f>_xlfn.XLOOKUP(raw_data_23[[#This Row],[Location]],Table2[Shop name],Table2[Category],"OCCATIONAL",0,1)</f>
        <v>FOOD DELIVERY</v>
      </c>
    </row>
    <row r="558" spans="1:6" x14ac:dyDescent="0.2">
      <c r="A558" s="7">
        <v>45997</v>
      </c>
      <c r="B558" s="2" t="str">
        <f t="shared" si="8"/>
        <v>December</v>
      </c>
      <c r="C558" s="2" t="s">
        <v>117</v>
      </c>
      <c r="D558" s="2" t="s">
        <v>19</v>
      </c>
      <c r="E558">
        <v>24</v>
      </c>
      <c r="F558" s="12" t="str">
        <f>_xlfn.XLOOKUP(raw_data_23[[#This Row],[Location]],Table2[Shop name],Table2[Category],"OCCATIONAL",0,1)</f>
        <v>FOOD</v>
      </c>
    </row>
    <row r="559" spans="1:6" x14ac:dyDescent="0.2">
      <c r="A559" s="7">
        <v>45997</v>
      </c>
      <c r="B559" s="2" t="str">
        <f t="shared" si="8"/>
        <v>December</v>
      </c>
      <c r="C559" s="2" t="s">
        <v>29</v>
      </c>
      <c r="D559" s="2" t="s">
        <v>19</v>
      </c>
      <c r="E559">
        <v>24.9</v>
      </c>
      <c r="F559" s="12" t="str">
        <f>_xlfn.XLOOKUP(raw_data_23[[#This Row],[Location]],Table2[Shop name],Table2[Category],"OCCATIONAL",0,1)</f>
        <v>HOME NEEDS</v>
      </c>
    </row>
    <row r="560" spans="1:6" x14ac:dyDescent="0.2">
      <c r="A560" s="7">
        <v>45997</v>
      </c>
      <c r="B560" s="2" t="str">
        <f t="shared" si="8"/>
        <v>December</v>
      </c>
      <c r="C560" s="2" t="s">
        <v>40</v>
      </c>
      <c r="D560" s="2" t="s">
        <v>19</v>
      </c>
      <c r="E560">
        <v>55</v>
      </c>
      <c r="F560" s="12" t="str">
        <f>_xlfn.XLOOKUP(raw_data_23[[#This Row],[Location]],Table2[Shop name],Table2[Category],"OCCATIONAL",0,1)</f>
        <v>GROCERIES</v>
      </c>
    </row>
    <row r="561" spans="1:6" x14ac:dyDescent="0.2">
      <c r="A561" s="7">
        <v>45997</v>
      </c>
      <c r="B561" s="2" t="str">
        <f t="shared" si="8"/>
        <v>December</v>
      </c>
      <c r="C561" s="2" t="s">
        <v>150</v>
      </c>
      <c r="D561" s="2" t="s">
        <v>19</v>
      </c>
      <c r="E561">
        <v>7.99</v>
      </c>
      <c r="F561" s="12" t="str">
        <f>_xlfn.XLOOKUP(raw_data_23[[#This Row],[Location]],Table2[Shop name],Table2[Category],"OCCATIONAL",0,1)</f>
        <v>OCCATIONAL</v>
      </c>
    </row>
    <row r="562" spans="1:6" x14ac:dyDescent="0.2">
      <c r="A562" s="7">
        <v>45997</v>
      </c>
      <c r="B562" s="2" t="str">
        <f t="shared" si="8"/>
        <v>December</v>
      </c>
      <c r="C562" s="2" t="s">
        <v>51</v>
      </c>
      <c r="D562" s="2" t="s">
        <v>19</v>
      </c>
      <c r="E562">
        <v>22.61</v>
      </c>
      <c r="F562" s="12" t="str">
        <f>_xlfn.XLOOKUP(raw_data_23[[#This Row],[Location]],Table2[Shop name],Table2[Category],"OCCATIONAL",0,1)</f>
        <v>GROCERIES</v>
      </c>
    </row>
    <row r="563" spans="1:6" x14ac:dyDescent="0.2">
      <c r="A563" s="7">
        <v>45997</v>
      </c>
      <c r="B563" s="2" t="str">
        <f t="shared" si="8"/>
        <v>December</v>
      </c>
      <c r="C563" s="2" t="s">
        <v>150</v>
      </c>
      <c r="D563" s="2" t="s">
        <v>19</v>
      </c>
      <c r="E563">
        <v>7.99</v>
      </c>
      <c r="F563" s="12" t="str">
        <f>_xlfn.XLOOKUP(raw_data_23[[#This Row],[Location]],Table2[Shop name],Table2[Category],"OCCATIONAL",0,1)</f>
        <v>OCCATIONAL</v>
      </c>
    </row>
    <row r="564" spans="1:6" x14ac:dyDescent="0.2">
      <c r="A564" s="7">
        <v>45997</v>
      </c>
      <c r="B564" s="2" t="str">
        <f t="shared" si="8"/>
        <v>December</v>
      </c>
      <c r="C564" s="2" t="s">
        <v>35</v>
      </c>
      <c r="D564" s="2" t="s">
        <v>19</v>
      </c>
      <c r="E564">
        <v>21.94</v>
      </c>
      <c r="F564" s="12" t="str">
        <f>_xlfn.XLOOKUP(raw_data_23[[#This Row],[Location]],Table2[Shop name],Table2[Category],"OCCATIONAL",0,1)</f>
        <v>OCCATIONAL</v>
      </c>
    </row>
    <row r="565" spans="1:6" x14ac:dyDescent="0.2">
      <c r="A565" s="7">
        <v>45997</v>
      </c>
      <c r="B565" s="2" t="str">
        <f t="shared" si="8"/>
        <v>December</v>
      </c>
      <c r="C565" s="2" t="s">
        <v>34</v>
      </c>
      <c r="D565" s="2" t="s">
        <v>4</v>
      </c>
      <c r="E565">
        <v>63.75</v>
      </c>
      <c r="F565" s="12" t="str">
        <f>_xlfn.XLOOKUP(raw_data_23[[#This Row],[Location]],Table2[Shop name],Table2[Category],"OCCATIONAL",0,1)</f>
        <v>TRAVEL</v>
      </c>
    </row>
    <row r="566" spans="1:6" x14ac:dyDescent="0.2">
      <c r="A566" s="7">
        <v>45997</v>
      </c>
      <c r="B566" s="2" t="str">
        <f t="shared" si="8"/>
        <v>December</v>
      </c>
      <c r="C566" s="2" t="s">
        <v>37</v>
      </c>
      <c r="D566" s="2" t="s">
        <v>19</v>
      </c>
      <c r="E566">
        <v>6.18</v>
      </c>
      <c r="F566" s="12" t="str">
        <f>_xlfn.XLOOKUP(raw_data_23[[#This Row],[Location]],Table2[Shop name],Table2[Category],"OCCATIONAL",0,1)</f>
        <v>GROCERIES</v>
      </c>
    </row>
    <row r="567" spans="1:6" x14ac:dyDescent="0.2">
      <c r="A567" s="7">
        <v>45997</v>
      </c>
      <c r="B567" s="2" t="str">
        <f t="shared" si="8"/>
        <v>December</v>
      </c>
      <c r="C567" s="2" t="s">
        <v>92</v>
      </c>
      <c r="D567" s="2" t="s">
        <v>19</v>
      </c>
      <c r="E567">
        <v>64</v>
      </c>
      <c r="F567" s="12" t="str">
        <f>_xlfn.XLOOKUP(raw_data_23[[#This Row],[Location]],Table2[Shop name],Table2[Category],"OCCATIONAL",0,1)</f>
        <v>HOME NEEDS</v>
      </c>
    </row>
    <row r="568" spans="1:6" x14ac:dyDescent="0.2">
      <c r="A568" s="7">
        <v>45998</v>
      </c>
      <c r="B568" s="2" t="str">
        <f t="shared" si="8"/>
        <v>December</v>
      </c>
      <c r="C568" s="2" t="s">
        <v>51</v>
      </c>
      <c r="D568" s="2" t="s">
        <v>19</v>
      </c>
      <c r="E568">
        <v>7.78</v>
      </c>
      <c r="F568" s="12" t="str">
        <f>_xlfn.XLOOKUP(raw_data_23[[#This Row],[Location]],Table2[Shop name],Table2[Category],"OCCATIONAL",0,1)</f>
        <v>GROCERIES</v>
      </c>
    </row>
    <row r="569" spans="1:6" x14ac:dyDescent="0.2">
      <c r="A569" s="7">
        <v>45998</v>
      </c>
      <c r="B569" s="2" t="str">
        <f t="shared" si="8"/>
        <v>December</v>
      </c>
      <c r="C569" s="2" t="s">
        <v>51</v>
      </c>
      <c r="D569" s="2" t="s">
        <v>19</v>
      </c>
      <c r="E569">
        <v>51.36</v>
      </c>
      <c r="F569" s="12" t="str">
        <f>_xlfn.XLOOKUP(raw_data_23[[#This Row],[Location]],Table2[Shop name],Table2[Category],"OCCATIONAL",0,1)</f>
        <v>GROCERIES</v>
      </c>
    </row>
    <row r="570" spans="1:6" x14ac:dyDescent="0.2">
      <c r="A570" s="7">
        <v>45998</v>
      </c>
      <c r="B570" s="2" t="str">
        <f t="shared" si="8"/>
        <v>December</v>
      </c>
      <c r="C570" s="2" t="s">
        <v>53</v>
      </c>
      <c r="D570" s="2" t="s">
        <v>19</v>
      </c>
      <c r="E570">
        <v>33.340000000000003</v>
      </c>
      <c r="F570" s="12" t="str">
        <f>_xlfn.XLOOKUP(raw_data_23[[#This Row],[Location]],Table2[Shop name],Table2[Category],"OCCATIONAL",0,1)</f>
        <v>HOME NEEDS</v>
      </c>
    </row>
    <row r="571" spans="1:6" x14ac:dyDescent="0.2">
      <c r="A571" s="7">
        <v>45998</v>
      </c>
      <c r="B571" s="2" t="str">
        <f t="shared" si="8"/>
        <v>December</v>
      </c>
      <c r="C571" s="2" t="s">
        <v>53</v>
      </c>
      <c r="D571" s="2" t="s">
        <v>19</v>
      </c>
      <c r="E571">
        <v>147.83000000000001</v>
      </c>
      <c r="F571" s="12" t="str">
        <f>_xlfn.XLOOKUP(raw_data_23[[#This Row],[Location]],Table2[Shop name],Table2[Category],"OCCATIONAL",0,1)</f>
        <v>HOME NEEDS</v>
      </c>
    </row>
    <row r="572" spans="1:6" x14ac:dyDescent="0.2">
      <c r="A572" s="7">
        <v>45998</v>
      </c>
      <c r="B572" s="2" t="str">
        <f t="shared" si="8"/>
        <v>December</v>
      </c>
      <c r="C572" s="2" t="s">
        <v>53</v>
      </c>
      <c r="D572" s="2" t="s">
        <v>19</v>
      </c>
      <c r="E572">
        <v>35.51</v>
      </c>
      <c r="F572" s="12" t="str">
        <f>_xlfn.XLOOKUP(raw_data_23[[#This Row],[Location]],Table2[Shop name],Table2[Category],"OCCATIONAL",0,1)</f>
        <v>HOME NEEDS</v>
      </c>
    </row>
    <row r="573" spans="1:6" x14ac:dyDescent="0.2">
      <c r="A573" s="7">
        <v>45998</v>
      </c>
      <c r="B573" s="2" t="str">
        <f t="shared" si="8"/>
        <v>December</v>
      </c>
      <c r="C573" s="2" t="s">
        <v>84</v>
      </c>
      <c r="D573" s="2" t="s">
        <v>19</v>
      </c>
      <c r="E573">
        <v>53</v>
      </c>
      <c r="F573" s="12" t="str">
        <f>_xlfn.XLOOKUP(raw_data_23[[#This Row],[Location]],Table2[Shop name],Table2[Category],"OCCATIONAL",0,1)</f>
        <v>CLOTHING</v>
      </c>
    </row>
    <row r="574" spans="1:6" x14ac:dyDescent="0.2">
      <c r="A574" s="7">
        <v>45998</v>
      </c>
      <c r="B574" s="2" t="str">
        <f t="shared" si="8"/>
        <v>December</v>
      </c>
      <c r="C574" s="2" t="s">
        <v>84</v>
      </c>
      <c r="D574" s="2" t="s">
        <v>19</v>
      </c>
      <c r="E574">
        <v>30</v>
      </c>
      <c r="F574" s="12" t="str">
        <f>_xlfn.XLOOKUP(raw_data_23[[#This Row],[Location]],Table2[Shop name],Table2[Category],"OCCATIONAL",0,1)</f>
        <v>CLOTHING</v>
      </c>
    </row>
    <row r="575" spans="1:6" x14ac:dyDescent="0.2">
      <c r="A575" s="7">
        <v>45998</v>
      </c>
      <c r="B575" s="2" t="str">
        <f t="shared" si="8"/>
        <v>December</v>
      </c>
      <c r="C575" s="2" t="s">
        <v>140</v>
      </c>
      <c r="D575" s="2" t="s">
        <v>19</v>
      </c>
      <c r="E575">
        <v>13</v>
      </c>
      <c r="F575" s="12" t="str">
        <f>_xlfn.XLOOKUP(raw_data_23[[#This Row],[Location]],Table2[Shop name],Table2[Category],"OCCATIONAL",0,1)</f>
        <v>HOME NEEDS</v>
      </c>
    </row>
    <row r="576" spans="1:6" x14ac:dyDescent="0.2">
      <c r="A576" s="7">
        <v>45998</v>
      </c>
      <c r="B576" s="2" t="str">
        <f t="shared" si="8"/>
        <v>December</v>
      </c>
      <c r="C576" s="2" t="s">
        <v>86</v>
      </c>
      <c r="D576" s="2" t="s">
        <v>19</v>
      </c>
      <c r="E576">
        <v>79</v>
      </c>
      <c r="F576" s="12" t="str">
        <f>_xlfn.XLOOKUP(raw_data_23[[#This Row],[Location]],Table2[Shop name],Table2[Category],"OCCATIONAL",0,1)</f>
        <v>HOME NEEDS</v>
      </c>
    </row>
    <row r="577" spans="1:6" x14ac:dyDescent="0.2">
      <c r="A577" s="7">
        <v>45999</v>
      </c>
      <c r="B577" s="2" t="str">
        <f t="shared" si="8"/>
        <v>December</v>
      </c>
      <c r="C577" s="2" t="s">
        <v>7</v>
      </c>
      <c r="D577" s="2" t="s">
        <v>19</v>
      </c>
      <c r="E577">
        <v>12</v>
      </c>
      <c r="F577" s="12" t="str">
        <f>_xlfn.XLOOKUP(raw_data_23[[#This Row],[Location]],Table2[Shop name],Table2[Category],"OCCATIONAL",0,1)</f>
        <v>OCCATIONAL</v>
      </c>
    </row>
    <row r="578" spans="1:6" x14ac:dyDescent="0.2">
      <c r="A578" s="7">
        <v>45999</v>
      </c>
      <c r="B578" s="2" t="str">
        <f t="shared" ref="B578:B641" si="9">TEXT(A578,"mmmm")</f>
        <v>December</v>
      </c>
      <c r="C578" s="2" t="s">
        <v>51</v>
      </c>
      <c r="D578" s="2" t="s">
        <v>19</v>
      </c>
      <c r="E578">
        <v>11.07</v>
      </c>
      <c r="F578" s="12" t="str">
        <f>_xlfn.XLOOKUP(raw_data_23[[#This Row],[Location]],Table2[Shop name],Table2[Category],"OCCATIONAL",0,1)</f>
        <v>GROCERIES</v>
      </c>
    </row>
    <row r="579" spans="1:6" x14ac:dyDescent="0.2">
      <c r="A579" s="7">
        <v>45999</v>
      </c>
      <c r="B579" s="2" t="str">
        <f t="shared" si="9"/>
        <v>December</v>
      </c>
      <c r="C579" s="2" t="s">
        <v>141</v>
      </c>
      <c r="D579" s="2" t="s">
        <v>19</v>
      </c>
      <c r="E579">
        <v>32.9</v>
      </c>
      <c r="F579" s="12" t="str">
        <f>_xlfn.XLOOKUP(raw_data_23[[#This Row],[Location]],Table2[Shop name],Table2[Category],"OCCATIONAL",0,1)</f>
        <v>OCCATIONAL</v>
      </c>
    </row>
    <row r="580" spans="1:6" x14ac:dyDescent="0.2">
      <c r="A580" s="7">
        <v>45999</v>
      </c>
      <c r="B580" s="2" t="str">
        <f t="shared" si="9"/>
        <v>December</v>
      </c>
      <c r="C580" s="2" t="s">
        <v>86</v>
      </c>
      <c r="D580" s="2" t="s">
        <v>19</v>
      </c>
      <c r="E580">
        <v>19.5</v>
      </c>
      <c r="F580" s="12" t="str">
        <f>_xlfn.XLOOKUP(raw_data_23[[#This Row],[Location]],Table2[Shop name],Table2[Category],"OCCATIONAL",0,1)</f>
        <v>HOME NEEDS</v>
      </c>
    </row>
    <row r="581" spans="1:6" x14ac:dyDescent="0.2">
      <c r="A581" s="7">
        <v>46000</v>
      </c>
      <c r="B581" s="2" t="str">
        <f t="shared" si="9"/>
        <v>December</v>
      </c>
      <c r="C581" s="2" t="s">
        <v>43</v>
      </c>
      <c r="D581" s="2" t="s">
        <v>19</v>
      </c>
      <c r="E581">
        <v>21.9</v>
      </c>
      <c r="F581" s="12" t="str">
        <f>_xlfn.XLOOKUP(raw_data_23[[#This Row],[Location]],Table2[Shop name],Table2[Category],"OCCATIONAL",0,1)</f>
        <v>FOOD</v>
      </c>
    </row>
    <row r="582" spans="1:6" x14ac:dyDescent="0.2">
      <c r="A582" s="7">
        <v>46000</v>
      </c>
      <c r="B582" s="2" t="str">
        <f t="shared" si="9"/>
        <v>December</v>
      </c>
      <c r="C582" s="2" t="s">
        <v>146</v>
      </c>
      <c r="D582" s="2" t="s">
        <v>19</v>
      </c>
      <c r="E582">
        <v>4.78</v>
      </c>
      <c r="F582" s="12" t="str">
        <f>_xlfn.XLOOKUP(raw_data_23[[#This Row],[Location]],Table2[Shop name],Table2[Category],"OCCATIONAL",0,1)</f>
        <v>GROCERIES</v>
      </c>
    </row>
    <row r="583" spans="1:6" x14ac:dyDescent="0.2">
      <c r="A583" s="7">
        <v>46001</v>
      </c>
      <c r="B583" s="2" t="str">
        <f t="shared" si="9"/>
        <v>December</v>
      </c>
      <c r="C583" s="2" t="s">
        <v>135</v>
      </c>
      <c r="D583" s="2" t="s">
        <v>19</v>
      </c>
      <c r="E583">
        <v>185.98</v>
      </c>
      <c r="F583" s="12" t="str">
        <f>_xlfn.XLOOKUP(raw_data_23[[#This Row],[Location]],Table2[Shop name],Table2[Category],"OCCATIONAL",0,1)</f>
        <v>HOME NEEDS</v>
      </c>
    </row>
    <row r="584" spans="1:6" x14ac:dyDescent="0.2">
      <c r="A584" s="7">
        <v>46001</v>
      </c>
      <c r="B584" s="2" t="str">
        <f t="shared" si="9"/>
        <v>December</v>
      </c>
      <c r="C584" s="2" t="s">
        <v>146</v>
      </c>
      <c r="D584" s="2" t="s">
        <v>19</v>
      </c>
      <c r="E584">
        <v>4.68</v>
      </c>
      <c r="F584" s="12" t="str">
        <f>_xlfn.XLOOKUP(raw_data_23[[#This Row],[Location]],Table2[Shop name],Table2[Category],"OCCATIONAL",0,1)</f>
        <v>GROCERIES</v>
      </c>
    </row>
    <row r="585" spans="1:6" x14ac:dyDescent="0.2">
      <c r="A585" s="7">
        <v>46001</v>
      </c>
      <c r="B585" s="2" t="str">
        <f t="shared" si="9"/>
        <v>December</v>
      </c>
      <c r="C585" s="2" t="s">
        <v>37</v>
      </c>
      <c r="D585" s="2" t="s">
        <v>19</v>
      </c>
      <c r="E585">
        <v>163.04</v>
      </c>
      <c r="F585" s="12" t="str">
        <f>_xlfn.XLOOKUP(raw_data_23[[#This Row],[Location]],Table2[Shop name],Table2[Category],"OCCATIONAL",0,1)</f>
        <v>GROCERIES</v>
      </c>
    </row>
    <row r="586" spans="1:6" x14ac:dyDescent="0.2">
      <c r="A586" s="7">
        <v>46001</v>
      </c>
      <c r="B586" s="2" t="str">
        <f t="shared" si="9"/>
        <v>December</v>
      </c>
      <c r="C586" s="2" t="s">
        <v>131</v>
      </c>
      <c r="D586" s="2" t="s">
        <v>19</v>
      </c>
      <c r="E586">
        <v>34.21</v>
      </c>
      <c r="F586" s="12" t="str">
        <f>_xlfn.XLOOKUP(raw_data_23[[#This Row],[Location]],Table2[Shop name],Table2[Category],"OCCATIONAL",0,1)</f>
        <v>OCCATIONAL</v>
      </c>
    </row>
    <row r="587" spans="1:6" x14ac:dyDescent="0.2">
      <c r="A587" s="7">
        <v>46002</v>
      </c>
      <c r="B587" s="2" t="str">
        <f t="shared" si="9"/>
        <v>December</v>
      </c>
      <c r="C587" s="2" t="s">
        <v>89</v>
      </c>
      <c r="D587" s="2" t="s">
        <v>19</v>
      </c>
      <c r="E587">
        <v>20.95</v>
      </c>
      <c r="F587" s="12" t="str">
        <f>_xlfn.XLOOKUP(raw_data_23[[#This Row],[Location]],Table2[Shop name],Table2[Category],"OCCATIONAL",0,1)</f>
        <v>OCCATIONAL</v>
      </c>
    </row>
    <row r="588" spans="1:6" x14ac:dyDescent="0.2">
      <c r="A588" s="7">
        <v>46003</v>
      </c>
      <c r="B588" s="2" t="str">
        <f t="shared" si="9"/>
        <v>December</v>
      </c>
      <c r="C588" s="2" t="s">
        <v>108</v>
      </c>
      <c r="D588" s="2" t="s">
        <v>19</v>
      </c>
      <c r="E588">
        <v>24.99</v>
      </c>
      <c r="F588" s="12" t="str">
        <f>_xlfn.XLOOKUP(raw_data_23[[#This Row],[Location]],Table2[Shop name],Table2[Category],"OCCATIONAL",0,1)</f>
        <v>FOOD</v>
      </c>
    </row>
    <row r="589" spans="1:6" x14ac:dyDescent="0.2">
      <c r="A589" s="7">
        <v>46003</v>
      </c>
      <c r="B589" s="2" t="str">
        <f t="shared" si="9"/>
        <v>December</v>
      </c>
      <c r="C589" s="2" t="s">
        <v>34</v>
      </c>
      <c r="D589" s="2" t="s">
        <v>19</v>
      </c>
      <c r="E589">
        <v>37.520000000000003</v>
      </c>
      <c r="F589" s="12" t="str">
        <f>_xlfn.XLOOKUP(raw_data_23[[#This Row],[Location]],Table2[Shop name],Table2[Category],"OCCATIONAL",0,1)</f>
        <v>TRAVEL</v>
      </c>
    </row>
    <row r="590" spans="1:6" x14ac:dyDescent="0.2">
      <c r="A590" s="7">
        <v>46006</v>
      </c>
      <c r="B590" s="2" t="str">
        <f t="shared" si="9"/>
        <v>December</v>
      </c>
      <c r="C590" s="2" t="s">
        <v>34</v>
      </c>
      <c r="D590" s="2" t="s">
        <v>4</v>
      </c>
      <c r="E590">
        <v>66</v>
      </c>
      <c r="F590" s="12" t="str">
        <f>_xlfn.XLOOKUP(raw_data_23[[#This Row],[Location]],Table2[Shop name],Table2[Category],"OCCATIONAL",0,1)</f>
        <v>TRAVEL</v>
      </c>
    </row>
    <row r="591" spans="1:6" x14ac:dyDescent="0.2">
      <c r="A591" s="7">
        <v>46007</v>
      </c>
      <c r="B591" s="2" t="str">
        <f t="shared" si="9"/>
        <v>December</v>
      </c>
      <c r="C591" s="2" t="s">
        <v>51</v>
      </c>
      <c r="D591" s="2" t="s">
        <v>19</v>
      </c>
      <c r="E591">
        <v>92.91</v>
      </c>
      <c r="F591" s="12" t="str">
        <f>_xlfn.XLOOKUP(raw_data_23[[#This Row],[Location]],Table2[Shop name],Table2[Category],"OCCATIONAL",0,1)</f>
        <v>GROCERIES</v>
      </c>
    </row>
    <row r="592" spans="1:6" x14ac:dyDescent="0.2">
      <c r="A592" s="7">
        <v>46007</v>
      </c>
      <c r="B592" s="2" t="str">
        <f t="shared" si="9"/>
        <v>December</v>
      </c>
      <c r="C592" s="2" t="s">
        <v>56</v>
      </c>
      <c r="D592" s="2" t="s">
        <v>19</v>
      </c>
      <c r="E592">
        <v>36.6</v>
      </c>
      <c r="F592" s="12" t="str">
        <f>_xlfn.XLOOKUP(raw_data_23[[#This Row],[Location]],Table2[Shop name],Table2[Category],"OCCATIONAL",0,1)</f>
        <v>HOME NEEDS</v>
      </c>
    </row>
    <row r="593" spans="1:6" x14ac:dyDescent="0.2">
      <c r="A593" s="7">
        <v>46007</v>
      </c>
      <c r="B593" s="2" t="str">
        <f t="shared" si="9"/>
        <v>December</v>
      </c>
      <c r="C593" s="2" t="s">
        <v>37</v>
      </c>
      <c r="D593" s="2" t="s">
        <v>19</v>
      </c>
      <c r="E593">
        <v>52.96</v>
      </c>
      <c r="F593" s="12" t="str">
        <f>_xlfn.XLOOKUP(raw_data_23[[#This Row],[Location]],Table2[Shop name],Table2[Category],"OCCATIONAL",0,1)</f>
        <v>GROCERIES</v>
      </c>
    </row>
    <row r="594" spans="1:6" x14ac:dyDescent="0.2">
      <c r="A594" s="7">
        <v>46008</v>
      </c>
      <c r="B594" s="2" t="str">
        <f t="shared" si="9"/>
        <v>December</v>
      </c>
      <c r="C594" s="2" t="s">
        <v>87</v>
      </c>
      <c r="D594" s="2" t="s">
        <v>19</v>
      </c>
      <c r="E594">
        <v>38</v>
      </c>
      <c r="F594" s="12" t="str">
        <f>_xlfn.XLOOKUP(raw_data_23[[#This Row],[Location]],Table2[Shop name],Table2[Category],"OCCATIONAL",0,1)</f>
        <v>FOOD</v>
      </c>
    </row>
    <row r="595" spans="1:6" x14ac:dyDescent="0.2">
      <c r="A595" s="7">
        <v>46008</v>
      </c>
      <c r="B595" s="2" t="str">
        <f t="shared" si="9"/>
        <v>December</v>
      </c>
      <c r="C595" s="2" t="s">
        <v>160</v>
      </c>
      <c r="D595" s="2" t="s">
        <v>19</v>
      </c>
      <c r="E595">
        <v>13.59</v>
      </c>
      <c r="F595" s="12" t="str">
        <f>_xlfn.XLOOKUP(raw_data_23[[#This Row],[Location]],Table2[Shop name],Table2[Category],"OCCATIONAL",0,1)</f>
        <v>COFFEE SHOP</v>
      </c>
    </row>
    <row r="596" spans="1:6" x14ac:dyDescent="0.2">
      <c r="A596" s="7">
        <v>46010</v>
      </c>
      <c r="B596" s="2" t="str">
        <f t="shared" si="9"/>
        <v>December</v>
      </c>
      <c r="C596" s="2" t="s">
        <v>155</v>
      </c>
      <c r="D596" s="2" t="s">
        <v>19</v>
      </c>
      <c r="E596">
        <v>29.25</v>
      </c>
      <c r="F596" s="12" t="str">
        <f>_xlfn.XLOOKUP(raw_data_23[[#This Row],[Location]],Table2[Shop name],Table2[Category],"OCCATIONAL",0,1)</f>
        <v>COFFEE SHOP</v>
      </c>
    </row>
    <row r="597" spans="1:6" x14ac:dyDescent="0.2">
      <c r="A597" s="7">
        <v>46010</v>
      </c>
      <c r="B597" s="2" t="str">
        <f t="shared" si="9"/>
        <v>December</v>
      </c>
      <c r="C597" s="2" t="s">
        <v>51</v>
      </c>
      <c r="D597" s="2" t="s">
        <v>19</v>
      </c>
      <c r="E597">
        <v>9.9499999999999993</v>
      </c>
      <c r="F597" s="12" t="str">
        <f>_xlfn.XLOOKUP(raw_data_23[[#This Row],[Location]],Table2[Shop name],Table2[Category],"OCCATIONAL",0,1)</f>
        <v>GROCERIES</v>
      </c>
    </row>
    <row r="598" spans="1:6" x14ac:dyDescent="0.2">
      <c r="A598" s="7">
        <v>46010</v>
      </c>
      <c r="B598" s="2" t="str">
        <f t="shared" si="9"/>
        <v>December</v>
      </c>
      <c r="C598" s="2" t="s">
        <v>56</v>
      </c>
      <c r="D598" s="2" t="s">
        <v>19</v>
      </c>
      <c r="E598">
        <v>46.15</v>
      </c>
      <c r="F598" s="12" t="str">
        <f>_xlfn.XLOOKUP(raw_data_23[[#This Row],[Location]],Table2[Shop name],Table2[Category],"OCCATIONAL",0,1)</f>
        <v>HOME NEEDS</v>
      </c>
    </row>
    <row r="599" spans="1:6" x14ac:dyDescent="0.2">
      <c r="A599" s="7">
        <v>46010</v>
      </c>
      <c r="B599" s="2" t="str">
        <f t="shared" si="9"/>
        <v>December</v>
      </c>
      <c r="C599" s="2" t="s">
        <v>30</v>
      </c>
      <c r="D599" s="2" t="s">
        <v>9</v>
      </c>
      <c r="E599">
        <v>52.95</v>
      </c>
      <c r="F599" s="12" t="str">
        <f>_xlfn.XLOOKUP(raw_data_23[[#This Row],[Location]],Table2[Shop name],Table2[Category],"OCCATIONAL",0,1)</f>
        <v>TRAVEL</v>
      </c>
    </row>
    <row r="600" spans="1:6" x14ac:dyDescent="0.2">
      <c r="A600" s="7">
        <v>46010</v>
      </c>
      <c r="B600" s="2" t="str">
        <f t="shared" si="9"/>
        <v>December</v>
      </c>
      <c r="C600" s="2" t="s">
        <v>31</v>
      </c>
      <c r="D600" s="2" t="s">
        <v>9</v>
      </c>
      <c r="E600">
        <v>51.45</v>
      </c>
      <c r="F600" s="12" t="str">
        <f>_xlfn.XLOOKUP(raw_data_23[[#This Row],[Location]],Table2[Shop name],Table2[Category],"OCCATIONAL",0,1)</f>
        <v>FOOD DELIVERY</v>
      </c>
    </row>
    <row r="601" spans="1:6" x14ac:dyDescent="0.2">
      <c r="A601" s="7">
        <v>46010</v>
      </c>
      <c r="B601" s="2" t="str">
        <f t="shared" si="9"/>
        <v>December</v>
      </c>
      <c r="C601" s="2" t="s">
        <v>37</v>
      </c>
      <c r="D601" s="2" t="s">
        <v>19</v>
      </c>
      <c r="E601">
        <v>4.68</v>
      </c>
      <c r="F601" s="12" t="str">
        <f>_xlfn.XLOOKUP(raw_data_23[[#This Row],[Location]],Table2[Shop name],Table2[Category],"OCCATIONAL",0,1)</f>
        <v>GROCERIES</v>
      </c>
    </row>
    <row r="602" spans="1:6" x14ac:dyDescent="0.2">
      <c r="A602" s="7">
        <v>46010</v>
      </c>
      <c r="B602" s="2" t="str">
        <f t="shared" si="9"/>
        <v>December</v>
      </c>
      <c r="C602" s="2" t="s">
        <v>38</v>
      </c>
      <c r="D602" s="2" t="s">
        <v>19</v>
      </c>
      <c r="E602">
        <v>32.97</v>
      </c>
      <c r="F602" s="12" t="str">
        <f>_xlfn.XLOOKUP(raw_data_23[[#This Row],[Location]],Table2[Shop name],Table2[Category],"OCCATIONAL",0,1)</f>
        <v>GROCERIES</v>
      </c>
    </row>
    <row r="603" spans="1:6" x14ac:dyDescent="0.2">
      <c r="A603" s="7">
        <v>46017</v>
      </c>
      <c r="B603" s="2" t="str">
        <f t="shared" si="9"/>
        <v>December</v>
      </c>
      <c r="C603" s="2" t="s">
        <v>36</v>
      </c>
      <c r="D603" s="2" t="s">
        <v>19</v>
      </c>
      <c r="E603">
        <v>85.74</v>
      </c>
      <c r="F603" s="12" t="str">
        <f>_xlfn.XLOOKUP(raw_data_23[[#This Row],[Location]],Table2[Shop name],Table2[Category],"OCCATIONAL",0,1)</f>
        <v>OCCATIONAL</v>
      </c>
    </row>
    <row r="604" spans="1:6" x14ac:dyDescent="0.2">
      <c r="A604" s="7">
        <v>46017</v>
      </c>
      <c r="B604" s="2" t="str">
        <f t="shared" si="9"/>
        <v>December</v>
      </c>
      <c r="C604" s="2" t="s">
        <v>36</v>
      </c>
      <c r="D604" s="2" t="s">
        <v>19</v>
      </c>
      <c r="E604">
        <v>85.74</v>
      </c>
      <c r="F604" s="12" t="str">
        <f>_xlfn.XLOOKUP(raw_data_23[[#This Row],[Location]],Table2[Shop name],Table2[Category],"OCCATIONAL",0,1)</f>
        <v>OCCATIONAL</v>
      </c>
    </row>
    <row r="605" spans="1:6" x14ac:dyDescent="0.2">
      <c r="A605" s="7">
        <v>46017</v>
      </c>
      <c r="B605" s="2" t="str">
        <f t="shared" si="9"/>
        <v>December</v>
      </c>
      <c r="C605" s="2" t="s">
        <v>36</v>
      </c>
      <c r="D605" s="2" t="s">
        <v>19</v>
      </c>
      <c r="E605">
        <v>85.74</v>
      </c>
      <c r="F605" s="12" t="str">
        <f>_xlfn.XLOOKUP(raw_data_23[[#This Row],[Location]],Table2[Shop name],Table2[Category],"OCCATIONAL",0,1)</f>
        <v>OCCATIONAL</v>
      </c>
    </row>
    <row r="606" spans="1:6" x14ac:dyDescent="0.2">
      <c r="A606" s="7">
        <v>46019</v>
      </c>
      <c r="B606" s="2" t="str">
        <f t="shared" si="9"/>
        <v>December</v>
      </c>
      <c r="C606" s="2" t="s">
        <v>142</v>
      </c>
      <c r="D606" s="2" t="s">
        <v>19</v>
      </c>
      <c r="E606">
        <v>35</v>
      </c>
      <c r="F606" s="12" t="str">
        <f>_xlfn.XLOOKUP(raw_data_23[[#This Row],[Location]],Table2[Shop name],Table2[Category],"OCCATIONAL",0,1)</f>
        <v>OCCATIONAL</v>
      </c>
    </row>
    <row r="607" spans="1:6" x14ac:dyDescent="0.2">
      <c r="A607" s="7">
        <v>46019</v>
      </c>
      <c r="B607" s="2" t="str">
        <f t="shared" si="9"/>
        <v>December</v>
      </c>
      <c r="C607" s="2" t="s">
        <v>123</v>
      </c>
      <c r="D607" s="2" t="s">
        <v>19</v>
      </c>
      <c r="E607">
        <v>29.45</v>
      </c>
      <c r="F607" s="12" t="str">
        <f>_xlfn.XLOOKUP(raw_data_23[[#This Row],[Location]],Table2[Shop name],Table2[Category],"OCCATIONAL",0,1)</f>
        <v>FOOD</v>
      </c>
    </row>
    <row r="608" spans="1:6" x14ac:dyDescent="0.2">
      <c r="A608" s="7">
        <v>46019</v>
      </c>
      <c r="B608" s="2" t="str">
        <f t="shared" si="9"/>
        <v>December</v>
      </c>
      <c r="C608" s="2" t="s">
        <v>150</v>
      </c>
      <c r="D608" s="2" t="s">
        <v>19</v>
      </c>
      <c r="E608">
        <v>22.98</v>
      </c>
      <c r="F608" s="12" t="str">
        <f>_xlfn.XLOOKUP(raw_data_23[[#This Row],[Location]],Table2[Shop name],Table2[Category],"OCCATIONAL",0,1)</f>
        <v>OCCATIONAL</v>
      </c>
    </row>
    <row r="609" spans="1:6" x14ac:dyDescent="0.2">
      <c r="A609" s="7">
        <v>46019</v>
      </c>
      <c r="B609" s="2" t="str">
        <f t="shared" si="9"/>
        <v>December</v>
      </c>
      <c r="C609" s="2" t="s">
        <v>150</v>
      </c>
      <c r="D609" s="2" t="s">
        <v>19</v>
      </c>
      <c r="E609">
        <v>7.99</v>
      </c>
      <c r="F609" s="12" t="str">
        <f>_xlfn.XLOOKUP(raw_data_23[[#This Row],[Location]],Table2[Shop name],Table2[Category],"OCCATIONAL",0,1)</f>
        <v>OCCATIONAL</v>
      </c>
    </row>
    <row r="610" spans="1:6" x14ac:dyDescent="0.2">
      <c r="A610" s="7">
        <v>46019</v>
      </c>
      <c r="B610" s="2" t="str">
        <f t="shared" si="9"/>
        <v>December</v>
      </c>
      <c r="C610" s="2" t="s">
        <v>154</v>
      </c>
      <c r="D610" s="2" t="s">
        <v>19</v>
      </c>
      <c r="E610">
        <v>29.25</v>
      </c>
      <c r="F610" s="12" t="str">
        <f>_xlfn.XLOOKUP(raw_data_23[[#This Row],[Location]],Table2[Shop name],Table2[Category],"OCCATIONAL",0,1)</f>
        <v>TRAVEL</v>
      </c>
    </row>
    <row r="611" spans="1:6" x14ac:dyDescent="0.2">
      <c r="A611" s="7">
        <v>46019</v>
      </c>
      <c r="B611" s="2" t="str">
        <f t="shared" si="9"/>
        <v>December</v>
      </c>
      <c r="C611" s="2" t="s">
        <v>143</v>
      </c>
      <c r="D611" s="2" t="s">
        <v>17</v>
      </c>
      <c r="E611">
        <v>21.31</v>
      </c>
      <c r="F611" s="12" t="str">
        <f>_xlfn.XLOOKUP(raw_data_23[[#This Row],[Location]],Table2[Shop name],Table2[Category],"OCCATIONAL",0,1)</f>
        <v>HOME NEEDS</v>
      </c>
    </row>
    <row r="612" spans="1:6" x14ac:dyDescent="0.2">
      <c r="A612" s="7">
        <v>46020</v>
      </c>
      <c r="B612" s="2" t="str">
        <f t="shared" si="9"/>
        <v>December</v>
      </c>
      <c r="C612" s="2" t="s">
        <v>144</v>
      </c>
      <c r="D612" s="2" t="s">
        <v>16</v>
      </c>
      <c r="E612">
        <v>39.99</v>
      </c>
      <c r="F612" s="12" t="str">
        <f>_xlfn.XLOOKUP(raw_data_23[[#This Row],[Location]],Table2[Shop name],Table2[Category],"OCCATIONAL",0,1)</f>
        <v>OCCATIONAL</v>
      </c>
    </row>
    <row r="613" spans="1:6" x14ac:dyDescent="0.2">
      <c r="A613" s="7">
        <v>46020</v>
      </c>
      <c r="B613" s="2" t="str">
        <f t="shared" si="9"/>
        <v>December</v>
      </c>
      <c r="C613" s="2" t="s">
        <v>31</v>
      </c>
      <c r="D613" s="2" t="s">
        <v>9</v>
      </c>
      <c r="E613">
        <v>71.540000000000006</v>
      </c>
      <c r="F613" s="12" t="str">
        <f>_xlfn.XLOOKUP(raw_data_23[[#This Row],[Location]],Table2[Shop name],Table2[Category],"OCCATIONAL",0,1)</f>
        <v>FOOD DELIVERY</v>
      </c>
    </row>
    <row r="614" spans="1:6" x14ac:dyDescent="0.2">
      <c r="A614" s="7">
        <v>46020</v>
      </c>
      <c r="B614" s="2" t="str">
        <f t="shared" si="9"/>
        <v>December</v>
      </c>
      <c r="C614" s="2" t="s">
        <v>37</v>
      </c>
      <c r="D614" s="2" t="s">
        <v>19</v>
      </c>
      <c r="E614">
        <v>301.22000000000003</v>
      </c>
      <c r="F614" s="12" t="str">
        <f>_xlfn.XLOOKUP(raw_data_23[[#This Row],[Location]],Table2[Shop name],Table2[Category],"OCCATIONAL",0,1)</f>
        <v>GROCERIES</v>
      </c>
    </row>
    <row r="615" spans="1:6" x14ac:dyDescent="0.2">
      <c r="A615" s="7">
        <v>46022</v>
      </c>
      <c r="B615" s="2" t="str">
        <f t="shared" si="9"/>
        <v>December</v>
      </c>
      <c r="C615" s="2" t="s">
        <v>51</v>
      </c>
      <c r="D615" s="2" t="s">
        <v>19</v>
      </c>
      <c r="E615">
        <v>43.25</v>
      </c>
      <c r="F615" s="12" t="str">
        <f>_xlfn.XLOOKUP(raw_data_23[[#This Row],[Location]],Table2[Shop name],Table2[Category],"OCCATIONAL",0,1)</f>
        <v>GROCERIES</v>
      </c>
    </row>
    <row r="616" spans="1:6" x14ac:dyDescent="0.2">
      <c r="A616" s="7">
        <v>46022</v>
      </c>
      <c r="B616" s="2" t="str">
        <f t="shared" si="9"/>
        <v>December</v>
      </c>
      <c r="C616" s="2" t="s">
        <v>21</v>
      </c>
      <c r="D616" s="2" t="s">
        <v>19</v>
      </c>
      <c r="E616">
        <v>20</v>
      </c>
      <c r="F616" s="12" t="str">
        <f>_xlfn.XLOOKUP(raw_data_23[[#This Row],[Location]],Table2[Shop name],Table2[Category],"OCCATIONAL",0,1)</f>
        <v>TRAVEL</v>
      </c>
    </row>
    <row r="617" spans="1:6" x14ac:dyDescent="0.2">
      <c r="A617" s="7">
        <v>46022</v>
      </c>
      <c r="B617" s="2" t="str">
        <f t="shared" si="9"/>
        <v>December</v>
      </c>
      <c r="C617" s="2" t="s">
        <v>126</v>
      </c>
      <c r="D617" s="2" t="s">
        <v>19</v>
      </c>
      <c r="E617">
        <v>65.650000000000006</v>
      </c>
      <c r="F617" s="12" t="str">
        <f>_xlfn.XLOOKUP(raw_data_23[[#This Row],[Location]],Table2[Shop name],Table2[Category],"OCCATIONAL",0,1)</f>
        <v>FOOD DELIVERY</v>
      </c>
    </row>
    <row r="618" spans="1:6" x14ac:dyDescent="0.2">
      <c r="A618" s="7">
        <v>46022</v>
      </c>
      <c r="B618" s="2" t="str">
        <f t="shared" si="9"/>
        <v>December</v>
      </c>
      <c r="C618" s="2" t="s">
        <v>37</v>
      </c>
      <c r="D618" s="2" t="s">
        <v>19</v>
      </c>
      <c r="E618">
        <v>5.78</v>
      </c>
      <c r="F618" s="12" t="str">
        <f>_xlfn.XLOOKUP(raw_data_23[[#This Row],[Location]],Table2[Shop name],Table2[Category],"OCCATIONAL",0,1)</f>
        <v>GROCERIES</v>
      </c>
    </row>
    <row r="619" spans="1:6" x14ac:dyDescent="0.2">
      <c r="A619" s="7">
        <v>46024</v>
      </c>
      <c r="B619" s="2" t="str">
        <f t="shared" si="9"/>
        <v>January</v>
      </c>
      <c r="C619" s="2" t="s">
        <v>51</v>
      </c>
      <c r="D619" s="2" t="s">
        <v>19</v>
      </c>
      <c r="E619">
        <v>64.08</v>
      </c>
      <c r="F619" s="12" t="str">
        <f>_xlfn.XLOOKUP(raw_data_23[[#This Row],[Location]],Table2[Shop name],Table2[Category],"OCCATIONAL",0,1)</f>
        <v>GROCERIES</v>
      </c>
    </row>
    <row r="620" spans="1:6" x14ac:dyDescent="0.2">
      <c r="A620" s="7">
        <v>46024</v>
      </c>
      <c r="B620" s="2" t="str">
        <f t="shared" si="9"/>
        <v>January</v>
      </c>
      <c r="C620" s="2" t="s">
        <v>21</v>
      </c>
      <c r="D620" s="2" t="s">
        <v>19</v>
      </c>
      <c r="E620">
        <v>20</v>
      </c>
      <c r="F620" s="12" t="str">
        <f>_xlfn.XLOOKUP(raw_data_23[[#This Row],[Location]],Table2[Shop name],Table2[Category],"OCCATIONAL",0,1)</f>
        <v>TRAVEL</v>
      </c>
    </row>
    <row r="621" spans="1:6" x14ac:dyDescent="0.2">
      <c r="A621" s="7">
        <v>46024</v>
      </c>
      <c r="B621" s="2" t="str">
        <f t="shared" si="9"/>
        <v>January</v>
      </c>
      <c r="C621" s="2" t="s">
        <v>28</v>
      </c>
      <c r="D621" s="2" t="s">
        <v>19</v>
      </c>
      <c r="E621">
        <v>120.3</v>
      </c>
      <c r="F621" s="12" t="str">
        <f>_xlfn.XLOOKUP(raw_data_23[[#This Row],[Location]],Table2[Shop name],Table2[Category],"OCCATIONAL",0,1)</f>
        <v>TRAVEL</v>
      </c>
    </row>
    <row r="622" spans="1:6" x14ac:dyDescent="0.2">
      <c r="A622" s="7">
        <v>46024</v>
      </c>
      <c r="B622" s="2" t="str">
        <f t="shared" si="9"/>
        <v>January</v>
      </c>
      <c r="C622" s="2" t="s">
        <v>32</v>
      </c>
      <c r="D622" s="2" t="s">
        <v>19</v>
      </c>
      <c r="E622">
        <v>996.93</v>
      </c>
      <c r="F622" s="12" t="str">
        <f>_xlfn.XLOOKUP(raw_data_23[[#This Row],[Location]],Table2[Shop name],Table2[Category],"OCCATIONAL",0,1)</f>
        <v>HOME NEEDS</v>
      </c>
    </row>
    <row r="623" spans="1:6" x14ac:dyDescent="0.2">
      <c r="A623" s="7">
        <v>46024</v>
      </c>
      <c r="B623" s="2" t="str">
        <f t="shared" si="9"/>
        <v>January</v>
      </c>
      <c r="C623" s="2" t="s">
        <v>126</v>
      </c>
      <c r="D623" s="2" t="s">
        <v>19</v>
      </c>
      <c r="E623">
        <v>74.099999999999994</v>
      </c>
      <c r="F623" s="12" t="str">
        <f>_xlfn.XLOOKUP(raw_data_23[[#This Row],[Location]],Table2[Shop name],Table2[Category],"OCCATIONAL",0,1)</f>
        <v>FOOD DELIVERY</v>
      </c>
    </row>
    <row r="624" spans="1:6" x14ac:dyDescent="0.2">
      <c r="A624" s="7">
        <v>46024</v>
      </c>
      <c r="B624" s="2" t="str">
        <f t="shared" si="9"/>
        <v>January</v>
      </c>
      <c r="C624" s="2" t="s">
        <v>37</v>
      </c>
      <c r="D624" s="2" t="s">
        <v>19</v>
      </c>
      <c r="E624">
        <v>12.47</v>
      </c>
      <c r="F624" s="12" t="str">
        <f>_xlfn.XLOOKUP(raw_data_23[[#This Row],[Location]],Table2[Shop name],Table2[Category],"OCCATIONAL",0,1)</f>
        <v>GROCERIES</v>
      </c>
    </row>
    <row r="625" spans="1:6" x14ac:dyDescent="0.2">
      <c r="A625" s="7">
        <v>46024</v>
      </c>
      <c r="B625" s="2" t="str">
        <f t="shared" si="9"/>
        <v>January</v>
      </c>
      <c r="C625" s="2" t="s">
        <v>18</v>
      </c>
      <c r="D625" s="2" t="s">
        <v>16</v>
      </c>
      <c r="E625">
        <v>433.32</v>
      </c>
      <c r="F625" s="12" t="str">
        <f>_xlfn.XLOOKUP(raw_data_23[[#This Row],[Location]],Table2[Shop name],Table2[Category],"OCCATIONAL",0,1)</f>
        <v>OCCATIONAL</v>
      </c>
    </row>
    <row r="626" spans="1:6" x14ac:dyDescent="0.2">
      <c r="A626" s="7">
        <v>46024</v>
      </c>
      <c r="B626" s="2" t="str">
        <f t="shared" si="9"/>
        <v>January</v>
      </c>
      <c r="C626" s="2" t="s">
        <v>38</v>
      </c>
      <c r="D626" s="2" t="s">
        <v>19</v>
      </c>
      <c r="E626">
        <v>17.989999999999998</v>
      </c>
      <c r="F626" s="12" t="str">
        <f>_xlfn.XLOOKUP(raw_data_23[[#This Row],[Location]],Table2[Shop name],Table2[Category],"OCCATIONAL",0,1)</f>
        <v>GROCERIES</v>
      </c>
    </row>
    <row r="627" spans="1:6" x14ac:dyDescent="0.2">
      <c r="A627" s="7">
        <v>46025</v>
      </c>
      <c r="B627" s="2" t="str">
        <f t="shared" si="9"/>
        <v>January</v>
      </c>
      <c r="C627" s="2" t="s">
        <v>24</v>
      </c>
      <c r="D627" s="2" t="s">
        <v>19</v>
      </c>
      <c r="E627">
        <v>35</v>
      </c>
      <c r="F627" s="12" t="str">
        <f>_xlfn.XLOOKUP(raw_data_23[[#This Row],[Location]],Table2[Shop name],Table2[Category],"OCCATIONAL",0,1)</f>
        <v>OTHER</v>
      </c>
    </row>
    <row r="628" spans="1:6" x14ac:dyDescent="0.2">
      <c r="A628" s="7">
        <v>46025</v>
      </c>
      <c r="B628" s="2" t="str">
        <f t="shared" si="9"/>
        <v>January</v>
      </c>
      <c r="C628" s="2" t="s">
        <v>36</v>
      </c>
      <c r="D628" s="2" t="s">
        <v>19</v>
      </c>
      <c r="E628">
        <v>126.56</v>
      </c>
      <c r="F628" s="12" t="str">
        <f>_xlfn.XLOOKUP(raw_data_23[[#This Row],[Location]],Table2[Shop name],Table2[Category],"OCCATIONAL",0,1)</f>
        <v>OCCATIONAL</v>
      </c>
    </row>
    <row r="629" spans="1:6" x14ac:dyDescent="0.2">
      <c r="A629" s="7">
        <v>46025</v>
      </c>
      <c r="B629" s="2" t="str">
        <f t="shared" si="9"/>
        <v>January</v>
      </c>
      <c r="C629" s="2" t="s">
        <v>31</v>
      </c>
      <c r="D629" s="2" t="s">
        <v>9</v>
      </c>
      <c r="E629">
        <v>37.4</v>
      </c>
      <c r="F629" s="12" t="str">
        <f>_xlfn.XLOOKUP(raw_data_23[[#This Row],[Location]],Table2[Shop name],Table2[Category],"OCCATIONAL",0,1)</f>
        <v>FOOD DELIVERY</v>
      </c>
    </row>
    <row r="630" spans="1:6" x14ac:dyDescent="0.2">
      <c r="A630" s="7">
        <v>46027</v>
      </c>
      <c r="B630" s="2" t="str">
        <f t="shared" si="9"/>
        <v>January</v>
      </c>
      <c r="C630" s="2" t="s">
        <v>51</v>
      </c>
      <c r="D630" s="2" t="s">
        <v>19</v>
      </c>
      <c r="E630">
        <v>75.38</v>
      </c>
      <c r="F630" s="12" t="str">
        <f>_xlfn.XLOOKUP(raw_data_23[[#This Row],[Location]],Table2[Shop name],Table2[Category],"OCCATIONAL",0,1)</f>
        <v>GROCERIES</v>
      </c>
    </row>
    <row r="631" spans="1:6" x14ac:dyDescent="0.2">
      <c r="A631" s="7">
        <v>46027</v>
      </c>
      <c r="B631" s="2" t="str">
        <f t="shared" si="9"/>
        <v>January</v>
      </c>
      <c r="C631" s="2" t="s">
        <v>21</v>
      </c>
      <c r="D631" s="2" t="s">
        <v>19</v>
      </c>
      <c r="E631">
        <v>25</v>
      </c>
      <c r="F631" s="12" t="str">
        <f>_xlfn.XLOOKUP(raw_data_23[[#This Row],[Location]],Table2[Shop name],Table2[Category],"OCCATIONAL",0,1)</f>
        <v>TRAVEL</v>
      </c>
    </row>
    <row r="632" spans="1:6" x14ac:dyDescent="0.2">
      <c r="A632" s="7">
        <v>46027</v>
      </c>
      <c r="B632" s="2" t="str">
        <f t="shared" si="9"/>
        <v>January</v>
      </c>
      <c r="C632" s="2" t="s">
        <v>53</v>
      </c>
      <c r="D632" s="2" t="s">
        <v>19</v>
      </c>
      <c r="E632">
        <v>78.099999999999994</v>
      </c>
      <c r="F632" s="12" t="str">
        <f>_xlfn.XLOOKUP(raw_data_23[[#This Row],[Location]],Table2[Shop name],Table2[Category],"OCCATIONAL",0,1)</f>
        <v>HOME NEEDS</v>
      </c>
    </row>
    <row r="633" spans="1:6" x14ac:dyDescent="0.2">
      <c r="A633" s="7">
        <v>46027</v>
      </c>
      <c r="B633" s="2" t="str">
        <f t="shared" si="9"/>
        <v>January</v>
      </c>
      <c r="C633" s="2" t="s">
        <v>37</v>
      </c>
      <c r="D633" s="2" t="s">
        <v>19</v>
      </c>
      <c r="E633">
        <v>49.99</v>
      </c>
      <c r="F633" s="12" t="str">
        <f>_xlfn.XLOOKUP(raw_data_23[[#This Row],[Location]],Table2[Shop name],Table2[Category],"OCCATIONAL",0,1)</f>
        <v>GROCERIES</v>
      </c>
    </row>
    <row r="634" spans="1:6" x14ac:dyDescent="0.2">
      <c r="A634" s="7">
        <v>46029</v>
      </c>
      <c r="B634" s="2" t="str">
        <f t="shared" si="9"/>
        <v>January</v>
      </c>
      <c r="C634" s="2" t="s">
        <v>105</v>
      </c>
      <c r="D634" s="2" t="s">
        <v>19</v>
      </c>
      <c r="E634">
        <v>9.99</v>
      </c>
      <c r="F634" s="12" t="str">
        <f>_xlfn.XLOOKUP(raw_data_23[[#This Row],[Location]],Table2[Shop name],Table2[Category],"OCCATIONAL",0,1)</f>
        <v>HOME NEEDS</v>
      </c>
    </row>
    <row r="635" spans="1:6" x14ac:dyDescent="0.2">
      <c r="A635" s="7">
        <v>46029</v>
      </c>
      <c r="B635" s="2" t="str">
        <f t="shared" si="9"/>
        <v>January</v>
      </c>
      <c r="C635" s="2" t="s">
        <v>51</v>
      </c>
      <c r="D635" s="2" t="s">
        <v>19</v>
      </c>
      <c r="E635">
        <v>79.680000000000007</v>
      </c>
      <c r="F635" s="12" t="str">
        <f>_xlfn.XLOOKUP(raw_data_23[[#This Row],[Location]],Table2[Shop name],Table2[Category],"OCCATIONAL",0,1)</f>
        <v>GROCERIES</v>
      </c>
    </row>
    <row r="636" spans="1:6" x14ac:dyDescent="0.2">
      <c r="A636" s="7">
        <v>46029</v>
      </c>
      <c r="B636" s="2" t="str">
        <f t="shared" si="9"/>
        <v>January</v>
      </c>
      <c r="C636" s="2" t="s">
        <v>56</v>
      </c>
      <c r="D636" s="2" t="s">
        <v>19</v>
      </c>
      <c r="E636">
        <v>71.72</v>
      </c>
      <c r="F636" s="12" t="str">
        <f>_xlfn.XLOOKUP(raw_data_23[[#This Row],[Location]],Table2[Shop name],Table2[Category],"OCCATIONAL",0,1)</f>
        <v>HOME NEEDS</v>
      </c>
    </row>
    <row r="637" spans="1:6" x14ac:dyDescent="0.2">
      <c r="A637" s="7">
        <v>46029</v>
      </c>
      <c r="B637" s="2" t="str">
        <f t="shared" si="9"/>
        <v>January</v>
      </c>
      <c r="C637" s="2" t="s">
        <v>53</v>
      </c>
      <c r="D637" s="2" t="s">
        <v>19</v>
      </c>
      <c r="E637">
        <v>34.61</v>
      </c>
      <c r="F637" s="12" t="str">
        <f>_xlfn.XLOOKUP(raw_data_23[[#This Row],[Location]],Table2[Shop name],Table2[Category],"OCCATIONAL",0,1)</f>
        <v>HOME NEEDS</v>
      </c>
    </row>
    <row r="638" spans="1:6" x14ac:dyDescent="0.2">
      <c r="A638" s="7">
        <v>46029</v>
      </c>
      <c r="B638" s="2" t="str">
        <f t="shared" si="9"/>
        <v>January</v>
      </c>
      <c r="C638" s="2" t="s">
        <v>38</v>
      </c>
      <c r="D638" s="2" t="s">
        <v>19</v>
      </c>
      <c r="E638">
        <v>16</v>
      </c>
      <c r="F638" s="12" t="str">
        <f>_xlfn.XLOOKUP(raw_data_23[[#This Row],[Location]],Table2[Shop name],Table2[Category],"OCCATIONAL",0,1)</f>
        <v>GROCERIES</v>
      </c>
    </row>
    <row r="639" spans="1:6" x14ac:dyDescent="0.2">
      <c r="A639" s="7">
        <v>46030</v>
      </c>
      <c r="B639" s="2" t="str">
        <f t="shared" si="9"/>
        <v>January</v>
      </c>
      <c r="C639" s="2" t="s">
        <v>7</v>
      </c>
      <c r="D639" s="2" t="s">
        <v>19</v>
      </c>
      <c r="E639">
        <v>12</v>
      </c>
      <c r="F639" s="12" t="str">
        <f>_xlfn.XLOOKUP(raw_data_23[[#This Row],[Location]],Table2[Shop name],Table2[Category],"OCCATIONAL",0,1)</f>
        <v>OCCATIONAL</v>
      </c>
    </row>
  </sheetData>
  <conditionalFormatting pivot="1" sqref="K10">
    <cfRule type="top10" dxfId="7" priority="7" rank="5"/>
  </conditionalFormatting>
  <conditionalFormatting pivot="1" sqref="K8:K19">
    <cfRule type="top10" dxfId="6" priority="6" rank="5"/>
  </conditionalFormatting>
  <conditionalFormatting sqref="P7:P16">
    <cfRule type="top10" dxfId="5" priority="1" rank="6"/>
  </conditionalFormatting>
  <pageMargins left="0.7" right="0.7" top="0.75" bottom="0.75" header="0.3" footer="0.3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0ECE1-2F99-4D45-896F-DDF3194B455C}">
  <dimension ref="A1:C121"/>
  <sheetViews>
    <sheetView tabSelected="1" workbookViewId="0">
      <selection activeCell="F9" sqref="F9"/>
    </sheetView>
  </sheetViews>
  <sheetFormatPr baseColWidth="10" defaultRowHeight="16" x14ac:dyDescent="0.2"/>
  <cols>
    <col min="1" max="1" width="13.33203125" bestFit="1" customWidth="1"/>
    <col min="2" max="2" width="14.83203125" bestFit="1" customWidth="1"/>
    <col min="3" max="3" width="34.83203125" bestFit="1" customWidth="1"/>
  </cols>
  <sheetData>
    <row r="1" spans="1:3" x14ac:dyDescent="0.2">
      <c r="A1" t="s">
        <v>173</v>
      </c>
      <c r="B1" t="s">
        <v>157</v>
      </c>
      <c r="C1" t="s">
        <v>158</v>
      </c>
    </row>
    <row r="2" spans="1:3" x14ac:dyDescent="0.2">
      <c r="A2">
        <v>6</v>
      </c>
      <c r="B2" s="2" t="s">
        <v>167</v>
      </c>
      <c r="C2" s="2" t="s">
        <v>41</v>
      </c>
    </row>
    <row r="3" spans="1:3" x14ac:dyDescent="0.2">
      <c r="A3">
        <v>6</v>
      </c>
      <c r="B3" s="2" t="s">
        <v>167</v>
      </c>
      <c r="C3" s="2" t="s">
        <v>160</v>
      </c>
    </row>
    <row r="4" spans="1:3" x14ac:dyDescent="0.2">
      <c r="A4">
        <v>6</v>
      </c>
      <c r="B4" s="2" t="s">
        <v>167</v>
      </c>
      <c r="C4" s="2" t="s">
        <v>90</v>
      </c>
    </row>
    <row r="5" spans="1:3" x14ac:dyDescent="0.2">
      <c r="A5">
        <v>6</v>
      </c>
      <c r="B5" s="2" t="s">
        <v>167</v>
      </c>
      <c r="C5" s="2" t="s">
        <v>118</v>
      </c>
    </row>
    <row r="6" spans="1:3" x14ac:dyDescent="0.2">
      <c r="A6">
        <v>6</v>
      </c>
      <c r="B6" s="2" t="s">
        <v>167</v>
      </c>
      <c r="C6" s="2" t="s">
        <v>49</v>
      </c>
    </row>
    <row r="7" spans="1:3" x14ac:dyDescent="0.2">
      <c r="A7">
        <v>6</v>
      </c>
      <c r="B7" s="2" t="s">
        <v>167</v>
      </c>
      <c r="C7" s="2" t="s">
        <v>128</v>
      </c>
    </row>
    <row r="8" spans="1:3" x14ac:dyDescent="0.2">
      <c r="A8">
        <v>6</v>
      </c>
      <c r="B8" s="2" t="s">
        <v>167</v>
      </c>
      <c r="C8" s="2" t="s">
        <v>155</v>
      </c>
    </row>
    <row r="9" spans="1:3" x14ac:dyDescent="0.2">
      <c r="A9">
        <v>6</v>
      </c>
      <c r="B9" s="2" t="s">
        <v>167</v>
      </c>
      <c r="C9" s="2" t="s">
        <v>156</v>
      </c>
    </row>
    <row r="10" spans="1:3" x14ac:dyDescent="0.2">
      <c r="A10">
        <v>6</v>
      </c>
      <c r="B10" s="2" t="s">
        <v>167</v>
      </c>
      <c r="C10" s="2" t="s">
        <v>50</v>
      </c>
    </row>
    <row r="11" spans="1:3" x14ac:dyDescent="0.2">
      <c r="A11">
        <v>6</v>
      </c>
      <c r="B11" s="2" t="s">
        <v>167</v>
      </c>
      <c r="C11" s="2" t="s">
        <v>159</v>
      </c>
    </row>
    <row r="12" spans="1:3" x14ac:dyDescent="0.2">
      <c r="A12">
        <v>6</v>
      </c>
      <c r="B12" s="2" t="s">
        <v>167</v>
      </c>
      <c r="C12" s="2" t="s">
        <v>67</v>
      </c>
    </row>
    <row r="13" spans="1:3" x14ac:dyDescent="0.2">
      <c r="A13">
        <v>2</v>
      </c>
      <c r="B13" s="2" t="s">
        <v>168</v>
      </c>
      <c r="C13" s="2" t="s">
        <v>103</v>
      </c>
    </row>
    <row r="14" spans="1:3" x14ac:dyDescent="0.2">
      <c r="A14">
        <v>2</v>
      </c>
      <c r="B14" s="2" t="s">
        <v>168</v>
      </c>
      <c r="C14" s="2" t="s">
        <v>111</v>
      </c>
    </row>
    <row r="15" spans="1:3" x14ac:dyDescent="0.2">
      <c r="A15">
        <v>2</v>
      </c>
      <c r="B15" s="2" t="s">
        <v>168</v>
      </c>
      <c r="C15" s="2" t="s">
        <v>149</v>
      </c>
    </row>
    <row r="16" spans="1:3" x14ac:dyDescent="0.2">
      <c r="A16">
        <v>2</v>
      </c>
      <c r="B16" s="2" t="s">
        <v>168</v>
      </c>
      <c r="C16" s="2" t="s">
        <v>109</v>
      </c>
    </row>
    <row r="17" spans="1:3" x14ac:dyDescent="0.2">
      <c r="A17">
        <v>1</v>
      </c>
      <c r="B17" s="2" t="s">
        <v>169</v>
      </c>
      <c r="C17" s="2" t="s">
        <v>37</v>
      </c>
    </row>
    <row r="18" spans="1:3" x14ac:dyDescent="0.2">
      <c r="A18">
        <v>1</v>
      </c>
      <c r="B18" s="2" t="s">
        <v>169</v>
      </c>
      <c r="C18" s="2" t="s">
        <v>40</v>
      </c>
    </row>
    <row r="19" spans="1:3" x14ac:dyDescent="0.2">
      <c r="A19">
        <v>1</v>
      </c>
      <c r="B19" s="2" t="s">
        <v>169</v>
      </c>
      <c r="C19" s="2" t="s">
        <v>146</v>
      </c>
    </row>
    <row r="20" spans="1:3" x14ac:dyDescent="0.2">
      <c r="A20">
        <v>1</v>
      </c>
      <c r="B20" s="2" t="s">
        <v>169</v>
      </c>
      <c r="C20" s="2" t="s">
        <v>47</v>
      </c>
    </row>
    <row r="21" spans="1:3" x14ac:dyDescent="0.2">
      <c r="A21">
        <v>1</v>
      </c>
      <c r="B21" s="2" t="s">
        <v>169</v>
      </c>
      <c r="C21" s="2" t="s">
        <v>148</v>
      </c>
    </row>
    <row r="22" spans="1:3" x14ac:dyDescent="0.2">
      <c r="A22">
        <v>1</v>
      </c>
      <c r="B22" s="2" t="s">
        <v>169</v>
      </c>
      <c r="C22" s="2" t="s">
        <v>48</v>
      </c>
    </row>
    <row r="23" spans="1:3" x14ac:dyDescent="0.2">
      <c r="A23">
        <v>1</v>
      </c>
      <c r="B23" s="2" t="s">
        <v>169</v>
      </c>
      <c r="C23" s="2" t="s">
        <v>51</v>
      </c>
    </row>
    <row r="24" spans="1:3" x14ac:dyDescent="0.2">
      <c r="A24">
        <v>1</v>
      </c>
      <c r="B24" s="2" t="s">
        <v>169</v>
      </c>
      <c r="C24" s="2" t="s">
        <v>70</v>
      </c>
    </row>
    <row r="25" spans="1:3" x14ac:dyDescent="0.2">
      <c r="A25">
        <v>1</v>
      </c>
      <c r="B25" s="2" t="s">
        <v>169</v>
      </c>
      <c r="C25" s="2" t="s">
        <v>38</v>
      </c>
    </row>
    <row r="26" spans="1:3" x14ac:dyDescent="0.2">
      <c r="A26">
        <v>8</v>
      </c>
      <c r="B26" s="2" t="s">
        <v>175</v>
      </c>
      <c r="C26" s="2" t="s">
        <v>20</v>
      </c>
    </row>
    <row r="27" spans="1:3" x14ac:dyDescent="0.2">
      <c r="A27">
        <v>8</v>
      </c>
      <c r="B27" s="2" t="s">
        <v>175</v>
      </c>
      <c r="C27" s="2" t="s">
        <v>13</v>
      </c>
    </row>
    <row r="28" spans="1:3" x14ac:dyDescent="0.2">
      <c r="A28">
        <v>3</v>
      </c>
      <c r="B28" s="2" t="s">
        <v>170</v>
      </c>
      <c r="C28" s="2" t="s">
        <v>102</v>
      </c>
    </row>
    <row r="29" spans="1:3" x14ac:dyDescent="0.2">
      <c r="A29">
        <v>3</v>
      </c>
      <c r="B29" s="2" t="s">
        <v>170</v>
      </c>
      <c r="C29" s="2" t="s">
        <v>32</v>
      </c>
    </row>
    <row r="30" spans="1:3" x14ac:dyDescent="0.2">
      <c r="A30">
        <v>3</v>
      </c>
      <c r="B30" s="2" t="s">
        <v>170</v>
      </c>
      <c r="C30" s="2" t="s">
        <v>62</v>
      </c>
    </row>
    <row r="31" spans="1:3" x14ac:dyDescent="0.2">
      <c r="A31">
        <v>3</v>
      </c>
      <c r="B31" s="2" t="s">
        <v>170</v>
      </c>
      <c r="C31" s="2" t="s">
        <v>153</v>
      </c>
    </row>
    <row r="32" spans="1:3" x14ac:dyDescent="0.2">
      <c r="A32">
        <v>3</v>
      </c>
      <c r="B32" s="2" t="s">
        <v>170</v>
      </c>
      <c r="C32" s="2" t="s">
        <v>53</v>
      </c>
    </row>
    <row r="33" spans="1:3" x14ac:dyDescent="0.2">
      <c r="A33">
        <v>3</v>
      </c>
      <c r="B33" s="2" t="s">
        <v>170</v>
      </c>
      <c r="C33" s="2" t="s">
        <v>72</v>
      </c>
    </row>
    <row r="34" spans="1:3" x14ac:dyDescent="0.2">
      <c r="A34">
        <v>3</v>
      </c>
      <c r="B34" s="2" t="s">
        <v>170</v>
      </c>
      <c r="C34" s="2" t="s">
        <v>86</v>
      </c>
    </row>
    <row r="35" spans="1:3" x14ac:dyDescent="0.2">
      <c r="A35">
        <v>3</v>
      </c>
      <c r="B35" s="2" t="s">
        <v>170</v>
      </c>
      <c r="C35" s="2" t="s">
        <v>92</v>
      </c>
    </row>
    <row r="36" spans="1:3" x14ac:dyDescent="0.2">
      <c r="A36">
        <v>3</v>
      </c>
      <c r="B36" s="2" t="s">
        <v>170</v>
      </c>
      <c r="C36" s="2" t="s">
        <v>95</v>
      </c>
    </row>
    <row r="37" spans="1:3" x14ac:dyDescent="0.2">
      <c r="A37">
        <v>3</v>
      </c>
      <c r="B37" s="2" t="s">
        <v>170</v>
      </c>
      <c r="C37" s="2" t="s">
        <v>97</v>
      </c>
    </row>
    <row r="38" spans="1:3" x14ac:dyDescent="0.2">
      <c r="A38">
        <v>3</v>
      </c>
      <c r="B38" s="2" t="s">
        <v>170</v>
      </c>
      <c r="C38" s="2" t="s">
        <v>120</v>
      </c>
    </row>
    <row r="39" spans="1:3" x14ac:dyDescent="0.2">
      <c r="A39">
        <v>3</v>
      </c>
      <c r="B39" s="2" t="s">
        <v>170</v>
      </c>
      <c r="C39" s="2" t="s">
        <v>25</v>
      </c>
    </row>
    <row r="40" spans="1:3" x14ac:dyDescent="0.2">
      <c r="A40">
        <v>3</v>
      </c>
      <c r="B40" s="2" t="s">
        <v>170</v>
      </c>
      <c r="C40" s="2" t="s">
        <v>135</v>
      </c>
    </row>
    <row r="41" spans="1:3" x14ac:dyDescent="0.2">
      <c r="A41">
        <v>3</v>
      </c>
      <c r="B41" s="2" t="s">
        <v>170</v>
      </c>
      <c r="C41" s="2" t="s">
        <v>29</v>
      </c>
    </row>
    <row r="42" spans="1:3" x14ac:dyDescent="0.2">
      <c r="A42">
        <v>3</v>
      </c>
      <c r="B42" s="2" t="s">
        <v>170</v>
      </c>
      <c r="C42" s="2" t="s">
        <v>140</v>
      </c>
    </row>
    <row r="43" spans="1:3" x14ac:dyDescent="0.2">
      <c r="A43">
        <v>3</v>
      </c>
      <c r="B43" s="2" t="s">
        <v>170</v>
      </c>
      <c r="C43" s="2" t="s">
        <v>143</v>
      </c>
    </row>
    <row r="44" spans="1:3" x14ac:dyDescent="0.2">
      <c r="A44">
        <v>3</v>
      </c>
      <c r="B44" s="2" t="s">
        <v>170</v>
      </c>
      <c r="C44" s="2" t="s">
        <v>79</v>
      </c>
    </row>
    <row r="45" spans="1:3" x14ac:dyDescent="0.2">
      <c r="A45">
        <v>3</v>
      </c>
      <c r="B45" s="2" t="s">
        <v>170</v>
      </c>
      <c r="C45" s="2" t="s">
        <v>147</v>
      </c>
    </row>
    <row r="46" spans="1:3" x14ac:dyDescent="0.2">
      <c r="A46">
        <v>3</v>
      </c>
      <c r="B46" s="2" t="s">
        <v>170</v>
      </c>
      <c r="C46" s="2" t="s">
        <v>105</v>
      </c>
    </row>
    <row r="47" spans="1:3" x14ac:dyDescent="0.2">
      <c r="A47">
        <v>3</v>
      </c>
      <c r="B47" s="2" t="s">
        <v>170</v>
      </c>
      <c r="C47" s="2" t="s">
        <v>56</v>
      </c>
    </row>
    <row r="48" spans="1:3" x14ac:dyDescent="0.2">
      <c r="A48">
        <v>3</v>
      </c>
      <c r="B48" s="2" t="s">
        <v>170</v>
      </c>
      <c r="C48" s="2" t="s">
        <v>85</v>
      </c>
    </row>
    <row r="49" spans="1:3" x14ac:dyDescent="0.2">
      <c r="A49">
        <v>9</v>
      </c>
      <c r="B49" s="2" t="s">
        <v>171</v>
      </c>
      <c r="C49" s="2" t="s">
        <v>39</v>
      </c>
    </row>
    <row r="50" spans="1:3" x14ac:dyDescent="0.2">
      <c r="A50">
        <v>9</v>
      </c>
      <c r="B50" s="2" t="s">
        <v>171</v>
      </c>
      <c r="C50" s="2" t="s">
        <v>161</v>
      </c>
    </row>
    <row r="51" spans="1:3" x14ac:dyDescent="0.2">
      <c r="A51">
        <v>9</v>
      </c>
      <c r="B51" s="2" t="s">
        <v>171</v>
      </c>
      <c r="C51" s="2" t="s">
        <v>69</v>
      </c>
    </row>
    <row r="52" spans="1:3" x14ac:dyDescent="0.2">
      <c r="A52">
        <v>9</v>
      </c>
      <c r="B52" s="2" t="s">
        <v>171</v>
      </c>
      <c r="C52" s="2" t="s">
        <v>162</v>
      </c>
    </row>
    <row r="53" spans="1:3" x14ac:dyDescent="0.2">
      <c r="A53">
        <v>9</v>
      </c>
      <c r="B53" s="2" t="s">
        <v>171</v>
      </c>
      <c r="C53" s="2" t="s">
        <v>74</v>
      </c>
    </row>
    <row r="54" spans="1:3" x14ac:dyDescent="0.2">
      <c r="A54">
        <v>9</v>
      </c>
      <c r="B54" s="2" t="s">
        <v>171</v>
      </c>
      <c r="C54" s="2" t="s">
        <v>76</v>
      </c>
    </row>
    <row r="55" spans="1:3" x14ac:dyDescent="0.2">
      <c r="A55">
        <v>9</v>
      </c>
      <c r="B55" s="2" t="s">
        <v>171</v>
      </c>
      <c r="C55" s="2" t="s">
        <v>78</v>
      </c>
    </row>
    <row r="56" spans="1:3" x14ac:dyDescent="0.2">
      <c r="A56">
        <v>9</v>
      </c>
      <c r="B56" s="2" t="s">
        <v>171</v>
      </c>
      <c r="C56" s="2" t="s">
        <v>84</v>
      </c>
    </row>
    <row r="57" spans="1:3" x14ac:dyDescent="0.2">
      <c r="A57">
        <v>9</v>
      </c>
      <c r="B57" s="2" t="s">
        <v>171</v>
      </c>
      <c r="C57" s="2" t="s">
        <v>91</v>
      </c>
    </row>
    <row r="58" spans="1:3" x14ac:dyDescent="0.2">
      <c r="A58">
        <v>7</v>
      </c>
      <c r="B58" s="2" t="s">
        <v>172</v>
      </c>
      <c r="C58" s="2" t="s">
        <v>21</v>
      </c>
    </row>
    <row r="59" spans="1:3" x14ac:dyDescent="0.2">
      <c r="A59">
        <v>7</v>
      </c>
      <c r="B59" s="2" t="s">
        <v>172</v>
      </c>
      <c r="C59" s="2" t="s">
        <v>154</v>
      </c>
    </row>
    <row r="60" spans="1:3" x14ac:dyDescent="0.2">
      <c r="A60">
        <v>7</v>
      </c>
      <c r="B60" s="2" t="s">
        <v>172</v>
      </c>
      <c r="C60" s="2" t="s">
        <v>130</v>
      </c>
    </row>
    <row r="61" spans="1:3" x14ac:dyDescent="0.2">
      <c r="A61">
        <v>7</v>
      </c>
      <c r="B61" s="2" t="s">
        <v>172</v>
      </c>
      <c r="C61" s="2" t="s">
        <v>132</v>
      </c>
    </row>
    <row r="62" spans="1:3" x14ac:dyDescent="0.2">
      <c r="A62">
        <v>7</v>
      </c>
      <c r="B62" s="2" t="s">
        <v>172</v>
      </c>
      <c r="C62" s="2" t="s">
        <v>136</v>
      </c>
    </row>
    <row r="63" spans="1:3" x14ac:dyDescent="0.2">
      <c r="A63">
        <v>7</v>
      </c>
      <c r="B63" s="2" t="s">
        <v>172</v>
      </c>
      <c r="C63" s="2" t="s">
        <v>27</v>
      </c>
    </row>
    <row r="64" spans="1:3" x14ac:dyDescent="0.2">
      <c r="A64">
        <v>7</v>
      </c>
      <c r="B64" s="2" t="s">
        <v>172</v>
      </c>
      <c r="C64" s="2" t="s">
        <v>94</v>
      </c>
    </row>
    <row r="65" spans="1:3" x14ac:dyDescent="0.2">
      <c r="A65">
        <v>7</v>
      </c>
      <c r="B65" s="2" t="s">
        <v>172</v>
      </c>
      <c r="C65" s="2" t="s">
        <v>98</v>
      </c>
    </row>
    <row r="66" spans="1:3" x14ac:dyDescent="0.2">
      <c r="A66">
        <v>7</v>
      </c>
      <c r="B66" s="2" t="s">
        <v>172</v>
      </c>
      <c r="C66" s="2" t="s">
        <v>110</v>
      </c>
    </row>
    <row r="67" spans="1:3" x14ac:dyDescent="0.2">
      <c r="A67">
        <v>7</v>
      </c>
      <c r="B67" s="2" t="s">
        <v>172</v>
      </c>
      <c r="C67" s="2" t="s">
        <v>115</v>
      </c>
    </row>
    <row r="68" spans="1:3" x14ac:dyDescent="0.2">
      <c r="A68">
        <v>7</v>
      </c>
      <c r="B68" s="2" t="s">
        <v>172</v>
      </c>
      <c r="C68" s="2" t="s">
        <v>122</v>
      </c>
    </row>
    <row r="69" spans="1:3" x14ac:dyDescent="0.2">
      <c r="A69">
        <v>7</v>
      </c>
      <c r="B69" s="2" t="s">
        <v>172</v>
      </c>
      <c r="C69" s="2" t="s">
        <v>60</v>
      </c>
    </row>
    <row r="70" spans="1:3" x14ac:dyDescent="0.2">
      <c r="A70">
        <v>7</v>
      </c>
      <c r="B70" s="2" t="s">
        <v>172</v>
      </c>
      <c r="C70" s="2" t="s">
        <v>63</v>
      </c>
    </row>
    <row r="71" spans="1:3" x14ac:dyDescent="0.2">
      <c r="A71">
        <v>7</v>
      </c>
      <c r="B71" s="2" t="s">
        <v>172</v>
      </c>
      <c r="C71" s="2" t="s">
        <v>28</v>
      </c>
    </row>
    <row r="72" spans="1:3" x14ac:dyDescent="0.2">
      <c r="A72">
        <v>7</v>
      </c>
      <c r="B72" s="2" t="s">
        <v>172</v>
      </c>
      <c r="C72" s="2" t="s">
        <v>68</v>
      </c>
    </row>
    <row r="73" spans="1:3" x14ac:dyDescent="0.2">
      <c r="A73">
        <v>7</v>
      </c>
      <c r="B73" s="2" t="s">
        <v>172</v>
      </c>
      <c r="C73" s="2" t="s">
        <v>26</v>
      </c>
    </row>
    <row r="74" spans="1:3" x14ac:dyDescent="0.2">
      <c r="A74">
        <v>7</v>
      </c>
      <c r="B74" s="2" t="s">
        <v>172</v>
      </c>
      <c r="C74" s="2" t="s">
        <v>6</v>
      </c>
    </row>
    <row r="75" spans="1:3" x14ac:dyDescent="0.2">
      <c r="A75">
        <v>7</v>
      </c>
      <c r="B75" s="2" t="s">
        <v>172</v>
      </c>
      <c r="C75" s="2" t="s">
        <v>30</v>
      </c>
    </row>
    <row r="76" spans="1:3" x14ac:dyDescent="0.2">
      <c r="A76">
        <v>7</v>
      </c>
      <c r="B76" s="2" t="s">
        <v>172</v>
      </c>
      <c r="C76" s="2" t="s">
        <v>34</v>
      </c>
    </row>
    <row r="77" spans="1:3" x14ac:dyDescent="0.2">
      <c r="A77">
        <v>5</v>
      </c>
      <c r="B77" s="2" t="s">
        <v>163</v>
      </c>
      <c r="C77" s="2" t="s">
        <v>126</v>
      </c>
    </row>
    <row r="78" spans="1:3" x14ac:dyDescent="0.2">
      <c r="A78">
        <v>5</v>
      </c>
      <c r="B78" s="2" t="s">
        <v>163</v>
      </c>
      <c r="C78" s="2" t="s">
        <v>124</v>
      </c>
    </row>
    <row r="79" spans="1:3" x14ac:dyDescent="0.2">
      <c r="A79">
        <v>5</v>
      </c>
      <c r="B79" s="2" t="s">
        <v>163</v>
      </c>
      <c r="C79" s="2" t="s">
        <v>31</v>
      </c>
    </row>
    <row r="80" spans="1:3" x14ac:dyDescent="0.2">
      <c r="A80">
        <v>10</v>
      </c>
      <c r="B80" s="2" t="s">
        <v>164</v>
      </c>
      <c r="C80" s="2" t="s">
        <v>22</v>
      </c>
    </row>
    <row r="81" spans="1:3" x14ac:dyDescent="0.2">
      <c r="A81">
        <v>10</v>
      </c>
      <c r="B81" s="2" t="s">
        <v>164</v>
      </c>
      <c r="C81" s="2" t="s">
        <v>23</v>
      </c>
    </row>
    <row r="82" spans="1:3" x14ac:dyDescent="0.2">
      <c r="A82">
        <v>10</v>
      </c>
      <c r="B82" s="2" t="s">
        <v>164</v>
      </c>
      <c r="C82" s="2" t="s">
        <v>6</v>
      </c>
    </row>
    <row r="83" spans="1:3" x14ac:dyDescent="0.2">
      <c r="A83">
        <v>10</v>
      </c>
      <c r="B83" s="2" t="s">
        <v>164</v>
      </c>
      <c r="C83" s="2" t="s">
        <v>125</v>
      </c>
    </row>
    <row r="84" spans="1:3" x14ac:dyDescent="0.2">
      <c r="A84">
        <v>4</v>
      </c>
      <c r="B84" s="2" t="s">
        <v>165</v>
      </c>
      <c r="C84" s="2" t="s">
        <v>45</v>
      </c>
    </row>
    <row r="85" spans="1:3" x14ac:dyDescent="0.2">
      <c r="A85">
        <v>4</v>
      </c>
      <c r="B85" s="2" t="s">
        <v>165</v>
      </c>
      <c r="C85" s="2" t="s">
        <v>46</v>
      </c>
    </row>
    <row r="86" spans="1:3" x14ac:dyDescent="0.2">
      <c r="A86">
        <v>4</v>
      </c>
      <c r="B86" s="2" t="s">
        <v>165</v>
      </c>
      <c r="C86" s="2" t="s">
        <v>43</v>
      </c>
    </row>
    <row r="87" spans="1:3" x14ac:dyDescent="0.2">
      <c r="A87">
        <v>4</v>
      </c>
      <c r="B87" s="2" t="s">
        <v>165</v>
      </c>
      <c r="C87" s="2" t="s">
        <v>55</v>
      </c>
    </row>
    <row r="88" spans="1:3" x14ac:dyDescent="0.2">
      <c r="A88">
        <v>4</v>
      </c>
      <c r="B88" s="2" t="s">
        <v>165</v>
      </c>
      <c r="C88" s="2" t="s">
        <v>57</v>
      </c>
    </row>
    <row r="89" spans="1:3" x14ac:dyDescent="0.2">
      <c r="A89">
        <v>4</v>
      </c>
      <c r="B89" s="2" t="s">
        <v>165</v>
      </c>
      <c r="C89" s="2" t="s">
        <v>58</v>
      </c>
    </row>
    <row r="90" spans="1:3" x14ac:dyDescent="0.2">
      <c r="A90">
        <v>4</v>
      </c>
      <c r="B90" s="2" t="s">
        <v>165</v>
      </c>
      <c r="C90" s="2" t="s">
        <v>64</v>
      </c>
    </row>
    <row r="91" spans="1:3" x14ac:dyDescent="0.2">
      <c r="A91">
        <v>4</v>
      </c>
      <c r="B91" s="2" t="s">
        <v>165</v>
      </c>
      <c r="C91" s="2" t="s">
        <v>66</v>
      </c>
    </row>
    <row r="92" spans="1:3" x14ac:dyDescent="0.2">
      <c r="A92">
        <v>4</v>
      </c>
      <c r="B92" s="2" t="s">
        <v>165</v>
      </c>
      <c r="C92" s="2" t="s">
        <v>182</v>
      </c>
    </row>
    <row r="93" spans="1:3" x14ac:dyDescent="0.2">
      <c r="A93">
        <v>4</v>
      </c>
      <c r="B93" s="2" t="s">
        <v>165</v>
      </c>
      <c r="C93" s="2" t="s">
        <v>73</v>
      </c>
    </row>
    <row r="94" spans="1:3" x14ac:dyDescent="0.2">
      <c r="A94">
        <v>4</v>
      </c>
      <c r="B94" s="2" t="s">
        <v>165</v>
      </c>
      <c r="C94" s="2" t="s">
        <v>75</v>
      </c>
    </row>
    <row r="95" spans="1:3" x14ac:dyDescent="0.2">
      <c r="A95">
        <v>4</v>
      </c>
      <c r="B95" s="2" t="s">
        <v>165</v>
      </c>
      <c r="C95" s="2" t="s">
        <v>80</v>
      </c>
    </row>
    <row r="96" spans="1:3" x14ac:dyDescent="0.2">
      <c r="A96">
        <v>4</v>
      </c>
      <c r="B96" s="2" t="s">
        <v>165</v>
      </c>
      <c r="C96" s="2" t="s">
        <v>82</v>
      </c>
    </row>
    <row r="97" spans="1:3" x14ac:dyDescent="0.2">
      <c r="A97">
        <v>4</v>
      </c>
      <c r="B97" s="2" t="s">
        <v>165</v>
      </c>
      <c r="C97" s="2" t="s">
        <v>83</v>
      </c>
    </row>
    <row r="98" spans="1:3" x14ac:dyDescent="0.2">
      <c r="A98">
        <v>4</v>
      </c>
      <c r="B98" s="2" t="s">
        <v>165</v>
      </c>
      <c r="C98" s="2" t="s">
        <v>87</v>
      </c>
    </row>
    <row r="99" spans="1:3" x14ac:dyDescent="0.2">
      <c r="A99">
        <v>4</v>
      </c>
      <c r="B99" s="2" t="s">
        <v>165</v>
      </c>
      <c r="C99" s="2" t="s">
        <v>166</v>
      </c>
    </row>
    <row r="100" spans="1:3" x14ac:dyDescent="0.2">
      <c r="A100">
        <v>4</v>
      </c>
      <c r="B100" s="2" t="s">
        <v>165</v>
      </c>
      <c r="C100" s="2" t="s">
        <v>96</v>
      </c>
    </row>
    <row r="101" spans="1:3" x14ac:dyDescent="0.2">
      <c r="A101">
        <v>4</v>
      </c>
      <c r="B101" s="2" t="s">
        <v>165</v>
      </c>
      <c r="C101" s="2" t="s">
        <v>100</v>
      </c>
    </row>
    <row r="102" spans="1:3" x14ac:dyDescent="0.2">
      <c r="A102">
        <v>4</v>
      </c>
      <c r="B102" s="2" t="s">
        <v>165</v>
      </c>
      <c r="C102" s="2" t="s">
        <v>101</v>
      </c>
    </row>
    <row r="103" spans="1:3" x14ac:dyDescent="0.2">
      <c r="A103">
        <v>4</v>
      </c>
      <c r="B103" s="2" t="s">
        <v>165</v>
      </c>
      <c r="C103" s="2" t="s">
        <v>106</v>
      </c>
    </row>
    <row r="104" spans="1:3" x14ac:dyDescent="0.2">
      <c r="A104">
        <v>4</v>
      </c>
      <c r="B104" s="2" t="s">
        <v>165</v>
      </c>
      <c r="C104" s="2" t="s">
        <v>107</v>
      </c>
    </row>
    <row r="105" spans="1:3" x14ac:dyDescent="0.2">
      <c r="A105">
        <v>4</v>
      </c>
      <c r="B105" s="2" t="s">
        <v>165</v>
      </c>
      <c r="C105" s="2" t="s">
        <v>108</v>
      </c>
    </row>
    <row r="106" spans="1:3" x14ac:dyDescent="0.2">
      <c r="A106">
        <v>4</v>
      </c>
      <c r="B106" s="2" t="s">
        <v>165</v>
      </c>
      <c r="C106" s="2" t="s">
        <v>112</v>
      </c>
    </row>
    <row r="107" spans="1:3" x14ac:dyDescent="0.2">
      <c r="A107">
        <v>4</v>
      </c>
      <c r="B107" s="2" t="s">
        <v>165</v>
      </c>
      <c r="C107" s="2" t="s">
        <v>113</v>
      </c>
    </row>
    <row r="108" spans="1:3" x14ac:dyDescent="0.2">
      <c r="A108">
        <v>4</v>
      </c>
      <c r="B108" s="2" t="s">
        <v>165</v>
      </c>
      <c r="C108" s="2" t="s">
        <v>114</v>
      </c>
    </row>
    <row r="109" spans="1:3" x14ac:dyDescent="0.2">
      <c r="A109">
        <v>4</v>
      </c>
      <c r="B109" s="2" t="s">
        <v>165</v>
      </c>
      <c r="C109" s="2" t="s">
        <v>116</v>
      </c>
    </row>
    <row r="110" spans="1:3" x14ac:dyDescent="0.2">
      <c r="A110">
        <v>4</v>
      </c>
      <c r="B110" s="2" t="s">
        <v>165</v>
      </c>
      <c r="C110" s="2" t="s">
        <v>117</v>
      </c>
    </row>
    <row r="111" spans="1:3" x14ac:dyDescent="0.2">
      <c r="A111">
        <v>4</v>
      </c>
      <c r="B111" s="2" t="s">
        <v>165</v>
      </c>
      <c r="C111" s="2" t="s">
        <v>119</v>
      </c>
    </row>
    <row r="112" spans="1:3" x14ac:dyDescent="0.2">
      <c r="A112">
        <v>4</v>
      </c>
      <c r="B112" s="2" t="s">
        <v>165</v>
      </c>
      <c r="C112" s="2" t="s">
        <v>123</v>
      </c>
    </row>
    <row r="113" spans="1:3" x14ac:dyDescent="0.2">
      <c r="A113">
        <v>4</v>
      </c>
      <c r="B113" s="2" t="s">
        <v>165</v>
      </c>
      <c r="C113" s="2" t="s">
        <v>127</v>
      </c>
    </row>
    <row r="114" spans="1:3" x14ac:dyDescent="0.2">
      <c r="A114">
        <v>4</v>
      </c>
      <c r="B114" s="2" t="s">
        <v>165</v>
      </c>
      <c r="C114" s="2" t="s">
        <v>133</v>
      </c>
    </row>
    <row r="115" spans="1:3" x14ac:dyDescent="0.2">
      <c r="A115">
        <v>4</v>
      </c>
      <c r="B115" s="2" t="s">
        <v>165</v>
      </c>
      <c r="C115" s="2" t="s">
        <v>139</v>
      </c>
    </row>
    <row r="116" spans="1:3" x14ac:dyDescent="0.2">
      <c r="A116">
        <v>4</v>
      </c>
      <c r="B116" s="2" t="s">
        <v>165</v>
      </c>
      <c r="C116" s="2" t="s">
        <v>42</v>
      </c>
    </row>
    <row r="117" spans="1:3" x14ac:dyDescent="0.2">
      <c r="A117">
        <v>6</v>
      </c>
      <c r="B117" s="2" t="s">
        <v>167</v>
      </c>
      <c r="C117" s="2" t="s">
        <v>71</v>
      </c>
    </row>
    <row r="118" spans="1:3" x14ac:dyDescent="0.2">
      <c r="A118">
        <v>9</v>
      </c>
      <c r="B118" s="2" t="s">
        <v>171</v>
      </c>
      <c r="C118" s="2" t="s">
        <v>99</v>
      </c>
    </row>
    <row r="119" spans="1:3" x14ac:dyDescent="0.2">
      <c r="A119">
        <v>6</v>
      </c>
      <c r="B119" s="2" t="s">
        <v>167</v>
      </c>
      <c r="C119" s="2" t="s">
        <v>129</v>
      </c>
    </row>
    <row r="120" spans="1:3" x14ac:dyDescent="0.2">
      <c r="A120">
        <v>7</v>
      </c>
      <c r="B120" s="2" t="s">
        <v>172</v>
      </c>
      <c r="C120" s="2" t="s">
        <v>183</v>
      </c>
    </row>
    <row r="121" spans="1:3" x14ac:dyDescent="0.2">
      <c r="A121">
        <v>7</v>
      </c>
      <c r="B121" s="2" t="s">
        <v>172</v>
      </c>
      <c r="C121" s="2" t="s">
        <v>184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A99B2-1CB7-4741-A715-6BEE01671961}">
  <dimension ref="A1:F115"/>
  <sheetViews>
    <sheetView workbookViewId="0">
      <selection sqref="A1:C121"/>
    </sheetView>
  </sheetViews>
  <sheetFormatPr baseColWidth="10" defaultRowHeight="16" x14ac:dyDescent="0.2"/>
  <cols>
    <col min="1" max="1" width="13.33203125" bestFit="1" customWidth="1"/>
    <col min="2" max="2" width="15" bestFit="1" customWidth="1"/>
    <col min="3" max="3" width="35" bestFit="1" customWidth="1"/>
    <col min="6" max="6" width="14.83203125" bestFit="1" customWidth="1"/>
  </cols>
  <sheetData>
    <row r="1" spans="1:6" x14ac:dyDescent="0.2">
      <c r="A1" t="s">
        <v>173</v>
      </c>
      <c r="B1" t="s">
        <v>157</v>
      </c>
      <c r="C1" t="s">
        <v>158</v>
      </c>
    </row>
    <row r="2" spans="1:6" x14ac:dyDescent="0.2">
      <c r="A2">
        <v>6</v>
      </c>
      <c r="B2" s="2" t="s">
        <v>167</v>
      </c>
      <c r="C2" s="2" t="s">
        <v>41</v>
      </c>
      <c r="E2" t="s">
        <v>174</v>
      </c>
      <c r="F2" t="s">
        <v>157</v>
      </c>
    </row>
    <row r="3" spans="1:6" x14ac:dyDescent="0.2">
      <c r="A3">
        <v>6</v>
      </c>
      <c r="B3" s="2" t="s">
        <v>167</v>
      </c>
      <c r="C3" s="2" t="s">
        <v>160</v>
      </c>
      <c r="E3">
        <v>1</v>
      </c>
      <c r="F3" s="2" t="s">
        <v>169</v>
      </c>
    </row>
    <row r="4" spans="1:6" x14ac:dyDescent="0.2">
      <c r="A4">
        <v>6</v>
      </c>
      <c r="B4" s="2" t="s">
        <v>167</v>
      </c>
      <c r="C4" s="2" t="s">
        <v>90</v>
      </c>
      <c r="E4">
        <v>2</v>
      </c>
      <c r="F4" s="2" t="s">
        <v>168</v>
      </c>
    </row>
    <row r="5" spans="1:6" x14ac:dyDescent="0.2">
      <c r="A5">
        <v>6</v>
      </c>
      <c r="B5" s="2" t="s">
        <v>167</v>
      </c>
      <c r="C5" s="2" t="s">
        <v>118</v>
      </c>
      <c r="E5">
        <v>3</v>
      </c>
      <c r="F5" s="2" t="s">
        <v>170</v>
      </c>
    </row>
    <row r="6" spans="1:6" x14ac:dyDescent="0.2">
      <c r="A6">
        <v>6</v>
      </c>
      <c r="B6" s="2" t="s">
        <v>167</v>
      </c>
      <c r="C6" s="2" t="s">
        <v>49</v>
      </c>
      <c r="E6" s="2">
        <v>4</v>
      </c>
      <c r="F6" s="2" t="s">
        <v>165</v>
      </c>
    </row>
    <row r="7" spans="1:6" x14ac:dyDescent="0.2">
      <c r="A7">
        <v>6</v>
      </c>
      <c r="B7" s="2" t="s">
        <v>167</v>
      </c>
      <c r="C7" s="2" t="s">
        <v>128</v>
      </c>
      <c r="E7" s="2">
        <v>5</v>
      </c>
      <c r="F7" s="2" t="s">
        <v>163</v>
      </c>
    </row>
    <row r="8" spans="1:6" x14ac:dyDescent="0.2">
      <c r="A8">
        <v>6</v>
      </c>
      <c r="B8" s="2" t="s">
        <v>167</v>
      </c>
      <c r="C8" s="2" t="s">
        <v>155</v>
      </c>
      <c r="E8" s="2">
        <v>6</v>
      </c>
      <c r="F8" s="2" t="s">
        <v>167</v>
      </c>
    </row>
    <row r="9" spans="1:6" x14ac:dyDescent="0.2">
      <c r="A9">
        <v>6</v>
      </c>
      <c r="B9" s="2" t="s">
        <v>167</v>
      </c>
      <c r="C9" s="2" t="s">
        <v>156</v>
      </c>
      <c r="E9" s="2">
        <v>7</v>
      </c>
      <c r="F9" s="2" t="s">
        <v>172</v>
      </c>
    </row>
    <row r="10" spans="1:6" x14ac:dyDescent="0.2">
      <c r="A10">
        <v>6</v>
      </c>
      <c r="B10" s="2" t="s">
        <v>167</v>
      </c>
      <c r="C10" s="2" t="s">
        <v>50</v>
      </c>
      <c r="E10" s="2">
        <v>8</v>
      </c>
      <c r="F10" s="2" t="s">
        <v>175</v>
      </c>
    </row>
    <row r="11" spans="1:6" x14ac:dyDescent="0.2">
      <c r="A11">
        <v>6</v>
      </c>
      <c r="B11" s="2" t="s">
        <v>167</v>
      </c>
      <c r="C11" s="2" t="s">
        <v>159</v>
      </c>
      <c r="E11" s="2">
        <v>9</v>
      </c>
      <c r="F11" s="2" t="s">
        <v>171</v>
      </c>
    </row>
    <row r="12" spans="1:6" x14ac:dyDescent="0.2">
      <c r="A12">
        <v>6</v>
      </c>
      <c r="B12" s="2" t="s">
        <v>167</v>
      </c>
      <c r="C12" s="2" t="s">
        <v>67</v>
      </c>
      <c r="E12" s="2">
        <v>10</v>
      </c>
      <c r="F12" s="2" t="s">
        <v>164</v>
      </c>
    </row>
    <row r="13" spans="1:6" x14ac:dyDescent="0.2">
      <c r="A13">
        <v>2</v>
      </c>
      <c r="B13" s="2" t="s">
        <v>168</v>
      </c>
      <c r="C13" s="2" t="s">
        <v>103</v>
      </c>
    </row>
    <row r="14" spans="1:6" x14ac:dyDescent="0.2">
      <c r="A14">
        <v>2</v>
      </c>
      <c r="B14" s="2" t="s">
        <v>168</v>
      </c>
      <c r="C14" s="2" t="s">
        <v>111</v>
      </c>
    </row>
    <row r="15" spans="1:6" x14ac:dyDescent="0.2">
      <c r="A15">
        <v>2</v>
      </c>
      <c r="B15" s="2" t="s">
        <v>168</v>
      </c>
      <c r="C15" s="2" t="s">
        <v>149</v>
      </c>
    </row>
    <row r="16" spans="1:6" x14ac:dyDescent="0.2">
      <c r="A16">
        <v>2</v>
      </c>
      <c r="B16" s="2" t="s">
        <v>168</v>
      </c>
      <c r="C16" s="2" t="s">
        <v>109</v>
      </c>
    </row>
    <row r="17" spans="1:3" x14ac:dyDescent="0.2">
      <c r="A17">
        <v>1</v>
      </c>
      <c r="B17" s="2" t="s">
        <v>169</v>
      </c>
      <c r="C17" s="2" t="s">
        <v>37</v>
      </c>
    </row>
    <row r="18" spans="1:3" x14ac:dyDescent="0.2">
      <c r="A18">
        <v>1</v>
      </c>
      <c r="B18" s="2" t="s">
        <v>169</v>
      </c>
      <c r="C18" s="2" t="s">
        <v>40</v>
      </c>
    </row>
    <row r="19" spans="1:3" x14ac:dyDescent="0.2">
      <c r="A19">
        <v>1</v>
      </c>
      <c r="B19" s="2" t="s">
        <v>169</v>
      </c>
      <c r="C19" s="2" t="s">
        <v>146</v>
      </c>
    </row>
    <row r="20" spans="1:3" x14ac:dyDescent="0.2">
      <c r="A20">
        <v>1</v>
      </c>
      <c r="B20" s="2" t="s">
        <v>169</v>
      </c>
      <c r="C20" s="2" t="s">
        <v>47</v>
      </c>
    </row>
    <row r="21" spans="1:3" x14ac:dyDescent="0.2">
      <c r="A21">
        <v>1</v>
      </c>
      <c r="B21" s="2" t="s">
        <v>169</v>
      </c>
      <c r="C21" s="2" t="s">
        <v>148</v>
      </c>
    </row>
    <row r="22" spans="1:3" x14ac:dyDescent="0.2">
      <c r="A22">
        <v>1</v>
      </c>
      <c r="B22" s="2" t="s">
        <v>169</v>
      </c>
      <c r="C22" s="2" t="s">
        <v>48</v>
      </c>
    </row>
    <row r="23" spans="1:3" x14ac:dyDescent="0.2">
      <c r="A23">
        <v>1</v>
      </c>
      <c r="B23" s="2" t="s">
        <v>169</v>
      </c>
      <c r="C23" s="2" t="s">
        <v>51</v>
      </c>
    </row>
    <row r="24" spans="1:3" x14ac:dyDescent="0.2">
      <c r="A24">
        <v>1</v>
      </c>
      <c r="B24" s="2" t="s">
        <v>169</v>
      </c>
      <c r="C24" s="2" t="s">
        <v>70</v>
      </c>
    </row>
    <row r="25" spans="1:3" x14ac:dyDescent="0.2">
      <c r="A25">
        <v>1</v>
      </c>
      <c r="B25" s="2" t="s">
        <v>169</v>
      </c>
      <c r="C25" s="2" t="s">
        <v>38</v>
      </c>
    </row>
    <row r="26" spans="1:3" x14ac:dyDescent="0.2">
      <c r="A26">
        <v>8</v>
      </c>
      <c r="B26" s="2" t="s">
        <v>175</v>
      </c>
      <c r="C26" s="2" t="s">
        <v>20</v>
      </c>
    </row>
    <row r="27" spans="1:3" x14ac:dyDescent="0.2">
      <c r="A27">
        <v>8</v>
      </c>
      <c r="B27" s="2" t="s">
        <v>175</v>
      </c>
      <c r="C27" s="2" t="s">
        <v>13</v>
      </c>
    </row>
    <row r="28" spans="1:3" x14ac:dyDescent="0.2">
      <c r="A28">
        <v>3</v>
      </c>
      <c r="B28" s="2" t="s">
        <v>170</v>
      </c>
      <c r="C28" s="2" t="s">
        <v>102</v>
      </c>
    </row>
    <row r="29" spans="1:3" x14ac:dyDescent="0.2">
      <c r="A29">
        <v>3</v>
      </c>
      <c r="B29" s="2" t="s">
        <v>170</v>
      </c>
      <c r="C29" s="2" t="s">
        <v>32</v>
      </c>
    </row>
    <row r="30" spans="1:3" x14ac:dyDescent="0.2">
      <c r="A30">
        <v>3</v>
      </c>
      <c r="B30" s="2" t="s">
        <v>170</v>
      </c>
      <c r="C30" s="2" t="s">
        <v>62</v>
      </c>
    </row>
    <row r="31" spans="1:3" x14ac:dyDescent="0.2">
      <c r="A31">
        <v>3</v>
      </c>
      <c r="B31" s="2" t="s">
        <v>170</v>
      </c>
      <c r="C31" s="2" t="s">
        <v>153</v>
      </c>
    </row>
    <row r="32" spans="1:3" x14ac:dyDescent="0.2">
      <c r="A32">
        <v>3</v>
      </c>
      <c r="B32" s="2" t="s">
        <v>170</v>
      </c>
      <c r="C32" s="2" t="s">
        <v>53</v>
      </c>
    </row>
    <row r="33" spans="1:3" x14ac:dyDescent="0.2">
      <c r="A33">
        <v>3</v>
      </c>
      <c r="B33" s="2" t="s">
        <v>170</v>
      </c>
      <c r="C33" s="2" t="s">
        <v>72</v>
      </c>
    </row>
    <row r="34" spans="1:3" x14ac:dyDescent="0.2">
      <c r="A34">
        <v>3</v>
      </c>
      <c r="B34" s="2" t="s">
        <v>170</v>
      </c>
      <c r="C34" s="2" t="s">
        <v>86</v>
      </c>
    </row>
    <row r="35" spans="1:3" x14ac:dyDescent="0.2">
      <c r="A35">
        <v>3</v>
      </c>
      <c r="B35" s="2" t="s">
        <v>170</v>
      </c>
      <c r="C35" s="2" t="s">
        <v>92</v>
      </c>
    </row>
    <row r="36" spans="1:3" x14ac:dyDescent="0.2">
      <c r="A36">
        <v>3</v>
      </c>
      <c r="B36" s="2" t="s">
        <v>170</v>
      </c>
      <c r="C36" s="2" t="s">
        <v>95</v>
      </c>
    </row>
    <row r="37" spans="1:3" x14ac:dyDescent="0.2">
      <c r="A37">
        <v>3</v>
      </c>
      <c r="B37" s="2" t="s">
        <v>170</v>
      </c>
      <c r="C37" s="2" t="s">
        <v>97</v>
      </c>
    </row>
    <row r="38" spans="1:3" x14ac:dyDescent="0.2">
      <c r="A38">
        <v>3</v>
      </c>
      <c r="B38" s="2" t="s">
        <v>170</v>
      </c>
      <c r="C38" s="2" t="s">
        <v>120</v>
      </c>
    </row>
    <row r="39" spans="1:3" x14ac:dyDescent="0.2">
      <c r="A39">
        <v>3</v>
      </c>
      <c r="B39" s="2" t="s">
        <v>170</v>
      </c>
      <c r="C39" s="2" t="s">
        <v>25</v>
      </c>
    </row>
    <row r="40" spans="1:3" x14ac:dyDescent="0.2">
      <c r="A40">
        <v>3</v>
      </c>
      <c r="B40" s="2" t="s">
        <v>170</v>
      </c>
      <c r="C40" s="2" t="s">
        <v>135</v>
      </c>
    </row>
    <row r="41" spans="1:3" x14ac:dyDescent="0.2">
      <c r="A41">
        <v>3</v>
      </c>
      <c r="B41" s="2" t="s">
        <v>170</v>
      </c>
      <c r="C41" s="2" t="s">
        <v>29</v>
      </c>
    </row>
    <row r="42" spans="1:3" x14ac:dyDescent="0.2">
      <c r="A42">
        <v>3</v>
      </c>
      <c r="B42" s="2" t="s">
        <v>170</v>
      </c>
      <c r="C42" s="2" t="s">
        <v>140</v>
      </c>
    </row>
    <row r="43" spans="1:3" x14ac:dyDescent="0.2">
      <c r="A43">
        <v>3</v>
      </c>
      <c r="B43" s="2" t="s">
        <v>170</v>
      </c>
      <c r="C43" s="2" t="s">
        <v>143</v>
      </c>
    </row>
    <row r="44" spans="1:3" x14ac:dyDescent="0.2">
      <c r="A44">
        <v>3</v>
      </c>
      <c r="B44" s="2" t="s">
        <v>170</v>
      </c>
      <c r="C44" s="2" t="s">
        <v>79</v>
      </c>
    </row>
    <row r="45" spans="1:3" x14ac:dyDescent="0.2">
      <c r="A45">
        <v>3</v>
      </c>
      <c r="B45" s="2" t="s">
        <v>170</v>
      </c>
      <c r="C45" s="2" t="s">
        <v>147</v>
      </c>
    </row>
    <row r="46" spans="1:3" x14ac:dyDescent="0.2">
      <c r="A46">
        <v>3</v>
      </c>
      <c r="B46" s="2" t="s">
        <v>170</v>
      </c>
      <c r="C46" s="2" t="s">
        <v>105</v>
      </c>
    </row>
    <row r="47" spans="1:3" x14ac:dyDescent="0.2">
      <c r="A47">
        <v>3</v>
      </c>
      <c r="B47" s="2" t="s">
        <v>170</v>
      </c>
      <c r="C47" s="2" t="s">
        <v>56</v>
      </c>
    </row>
    <row r="48" spans="1:3" x14ac:dyDescent="0.2">
      <c r="A48">
        <v>3</v>
      </c>
      <c r="B48" s="2" t="s">
        <v>170</v>
      </c>
      <c r="C48" s="2" t="s">
        <v>85</v>
      </c>
    </row>
    <row r="49" spans="1:3" x14ac:dyDescent="0.2">
      <c r="A49">
        <v>9</v>
      </c>
      <c r="B49" s="2" t="s">
        <v>171</v>
      </c>
      <c r="C49" s="2" t="s">
        <v>39</v>
      </c>
    </row>
    <row r="50" spans="1:3" x14ac:dyDescent="0.2">
      <c r="A50">
        <v>9</v>
      </c>
      <c r="B50" s="2" t="s">
        <v>171</v>
      </c>
      <c r="C50" s="2" t="s">
        <v>161</v>
      </c>
    </row>
    <row r="51" spans="1:3" x14ac:dyDescent="0.2">
      <c r="A51">
        <v>9</v>
      </c>
      <c r="B51" s="2" t="s">
        <v>171</v>
      </c>
      <c r="C51" s="2" t="s">
        <v>69</v>
      </c>
    </row>
    <row r="52" spans="1:3" x14ac:dyDescent="0.2">
      <c r="A52">
        <v>9</v>
      </c>
      <c r="B52" s="2" t="s">
        <v>171</v>
      </c>
      <c r="C52" s="2" t="s">
        <v>162</v>
      </c>
    </row>
    <row r="53" spans="1:3" x14ac:dyDescent="0.2">
      <c r="A53">
        <v>9</v>
      </c>
      <c r="B53" s="2" t="s">
        <v>171</v>
      </c>
      <c r="C53" s="2" t="s">
        <v>74</v>
      </c>
    </row>
    <row r="54" spans="1:3" x14ac:dyDescent="0.2">
      <c r="A54">
        <v>9</v>
      </c>
      <c r="B54" s="2" t="s">
        <v>171</v>
      </c>
      <c r="C54" s="2" t="s">
        <v>76</v>
      </c>
    </row>
    <row r="55" spans="1:3" x14ac:dyDescent="0.2">
      <c r="A55">
        <v>9</v>
      </c>
      <c r="B55" s="2" t="s">
        <v>171</v>
      </c>
      <c r="C55" s="2" t="s">
        <v>78</v>
      </c>
    </row>
    <row r="56" spans="1:3" x14ac:dyDescent="0.2">
      <c r="A56">
        <v>9</v>
      </c>
      <c r="B56" s="2" t="s">
        <v>171</v>
      </c>
      <c r="C56" s="2" t="s">
        <v>84</v>
      </c>
    </row>
    <row r="57" spans="1:3" x14ac:dyDescent="0.2">
      <c r="A57">
        <v>9</v>
      </c>
      <c r="B57" s="2" t="s">
        <v>171</v>
      </c>
      <c r="C57" s="2" t="s">
        <v>91</v>
      </c>
    </row>
    <row r="58" spans="1:3" x14ac:dyDescent="0.2">
      <c r="A58">
        <v>7</v>
      </c>
      <c r="B58" s="2" t="s">
        <v>172</v>
      </c>
      <c r="C58" s="2" t="s">
        <v>21</v>
      </c>
    </row>
    <row r="59" spans="1:3" x14ac:dyDescent="0.2">
      <c r="A59">
        <v>7</v>
      </c>
      <c r="B59" s="2" t="s">
        <v>172</v>
      </c>
      <c r="C59" s="2" t="s">
        <v>154</v>
      </c>
    </row>
    <row r="60" spans="1:3" x14ac:dyDescent="0.2">
      <c r="A60">
        <v>7</v>
      </c>
      <c r="B60" s="2" t="s">
        <v>172</v>
      </c>
      <c r="C60" s="2" t="s">
        <v>130</v>
      </c>
    </row>
    <row r="61" spans="1:3" x14ac:dyDescent="0.2">
      <c r="A61">
        <v>7</v>
      </c>
      <c r="B61" s="2" t="s">
        <v>172</v>
      </c>
      <c r="C61" s="2" t="s">
        <v>132</v>
      </c>
    </row>
    <row r="62" spans="1:3" x14ac:dyDescent="0.2">
      <c r="A62">
        <v>7</v>
      </c>
      <c r="B62" s="2" t="s">
        <v>172</v>
      </c>
      <c r="C62" s="2" t="s">
        <v>136</v>
      </c>
    </row>
    <row r="63" spans="1:3" x14ac:dyDescent="0.2">
      <c r="A63">
        <v>7</v>
      </c>
      <c r="B63" s="2" t="s">
        <v>172</v>
      </c>
      <c r="C63" s="2" t="s">
        <v>27</v>
      </c>
    </row>
    <row r="64" spans="1:3" x14ac:dyDescent="0.2">
      <c r="A64">
        <v>7</v>
      </c>
      <c r="B64" s="2" t="s">
        <v>172</v>
      </c>
      <c r="C64" s="2" t="s">
        <v>94</v>
      </c>
    </row>
    <row r="65" spans="1:3" x14ac:dyDescent="0.2">
      <c r="A65">
        <v>7</v>
      </c>
      <c r="B65" s="2" t="s">
        <v>172</v>
      </c>
      <c r="C65" s="2" t="s">
        <v>98</v>
      </c>
    </row>
    <row r="66" spans="1:3" x14ac:dyDescent="0.2">
      <c r="A66">
        <v>7</v>
      </c>
      <c r="B66" s="2" t="s">
        <v>172</v>
      </c>
      <c r="C66" s="2" t="s">
        <v>110</v>
      </c>
    </row>
    <row r="67" spans="1:3" x14ac:dyDescent="0.2">
      <c r="A67">
        <v>7</v>
      </c>
      <c r="B67" s="2" t="s">
        <v>172</v>
      </c>
      <c r="C67" s="2" t="s">
        <v>115</v>
      </c>
    </row>
    <row r="68" spans="1:3" x14ac:dyDescent="0.2">
      <c r="A68">
        <v>7</v>
      </c>
      <c r="B68" s="2" t="s">
        <v>172</v>
      </c>
      <c r="C68" s="2" t="s">
        <v>122</v>
      </c>
    </row>
    <row r="69" spans="1:3" x14ac:dyDescent="0.2">
      <c r="A69">
        <v>7</v>
      </c>
      <c r="B69" s="2" t="s">
        <v>172</v>
      </c>
      <c r="C69" s="2" t="s">
        <v>60</v>
      </c>
    </row>
    <row r="70" spans="1:3" x14ac:dyDescent="0.2">
      <c r="A70">
        <v>7</v>
      </c>
      <c r="B70" s="2" t="s">
        <v>172</v>
      </c>
      <c r="C70" s="2" t="s">
        <v>63</v>
      </c>
    </row>
    <row r="71" spans="1:3" x14ac:dyDescent="0.2">
      <c r="A71">
        <v>7</v>
      </c>
      <c r="B71" s="2" t="s">
        <v>172</v>
      </c>
      <c r="C71" s="2" t="s">
        <v>28</v>
      </c>
    </row>
    <row r="72" spans="1:3" x14ac:dyDescent="0.2">
      <c r="A72">
        <v>7</v>
      </c>
      <c r="B72" s="2" t="s">
        <v>172</v>
      </c>
      <c r="C72" s="2" t="s">
        <v>68</v>
      </c>
    </row>
    <row r="73" spans="1:3" x14ac:dyDescent="0.2">
      <c r="A73">
        <v>7</v>
      </c>
      <c r="B73" s="2" t="s">
        <v>172</v>
      </c>
      <c r="C73" s="2" t="s">
        <v>26</v>
      </c>
    </row>
    <row r="74" spans="1:3" x14ac:dyDescent="0.2">
      <c r="A74">
        <v>7</v>
      </c>
      <c r="B74" s="2" t="s">
        <v>172</v>
      </c>
      <c r="C74" s="2" t="s">
        <v>6</v>
      </c>
    </row>
    <row r="75" spans="1:3" x14ac:dyDescent="0.2">
      <c r="A75">
        <v>7</v>
      </c>
      <c r="B75" s="2" t="s">
        <v>172</v>
      </c>
      <c r="C75" s="2" t="s">
        <v>30</v>
      </c>
    </row>
    <row r="76" spans="1:3" x14ac:dyDescent="0.2">
      <c r="A76">
        <v>7</v>
      </c>
      <c r="B76" s="2" t="s">
        <v>172</v>
      </c>
      <c r="C76" s="2" t="s">
        <v>34</v>
      </c>
    </row>
    <row r="77" spans="1:3" x14ac:dyDescent="0.2">
      <c r="A77">
        <v>5</v>
      </c>
      <c r="B77" s="2" t="s">
        <v>163</v>
      </c>
      <c r="C77" s="2" t="s">
        <v>126</v>
      </c>
    </row>
    <row r="78" spans="1:3" x14ac:dyDescent="0.2">
      <c r="A78">
        <v>5</v>
      </c>
      <c r="B78" s="2" t="s">
        <v>163</v>
      </c>
      <c r="C78" s="2" t="s">
        <v>124</v>
      </c>
    </row>
    <row r="79" spans="1:3" x14ac:dyDescent="0.2">
      <c r="A79">
        <v>5</v>
      </c>
      <c r="B79" s="2" t="s">
        <v>163</v>
      </c>
      <c r="C79" s="2" t="s">
        <v>31</v>
      </c>
    </row>
    <row r="80" spans="1:3" x14ac:dyDescent="0.2">
      <c r="A80">
        <v>10</v>
      </c>
      <c r="B80" s="2" t="s">
        <v>164</v>
      </c>
      <c r="C80" s="2" t="s">
        <v>22</v>
      </c>
    </row>
    <row r="81" spans="1:3" x14ac:dyDescent="0.2">
      <c r="A81">
        <v>10</v>
      </c>
      <c r="B81" s="2" t="s">
        <v>164</v>
      </c>
      <c r="C81" s="2" t="s">
        <v>23</v>
      </c>
    </row>
    <row r="82" spans="1:3" x14ac:dyDescent="0.2">
      <c r="A82">
        <v>10</v>
      </c>
      <c r="B82" s="2" t="s">
        <v>164</v>
      </c>
      <c r="C82" s="2" t="s">
        <v>6</v>
      </c>
    </row>
    <row r="83" spans="1:3" x14ac:dyDescent="0.2">
      <c r="A83">
        <v>10</v>
      </c>
      <c r="B83" s="2" t="s">
        <v>164</v>
      </c>
      <c r="C83" s="2" t="s">
        <v>125</v>
      </c>
    </row>
    <row r="84" spans="1:3" x14ac:dyDescent="0.2">
      <c r="A84">
        <v>4</v>
      </c>
      <c r="B84" s="2" t="s">
        <v>165</v>
      </c>
      <c r="C84" s="2" t="s">
        <v>45</v>
      </c>
    </row>
    <row r="85" spans="1:3" x14ac:dyDescent="0.2">
      <c r="A85">
        <v>4</v>
      </c>
      <c r="B85" s="2" t="s">
        <v>165</v>
      </c>
      <c r="C85" s="2" t="s">
        <v>46</v>
      </c>
    </row>
    <row r="86" spans="1:3" x14ac:dyDescent="0.2">
      <c r="A86">
        <v>4</v>
      </c>
      <c r="B86" s="2" t="s">
        <v>165</v>
      </c>
      <c r="C86" s="2" t="s">
        <v>43</v>
      </c>
    </row>
    <row r="87" spans="1:3" x14ac:dyDescent="0.2">
      <c r="A87">
        <v>4</v>
      </c>
      <c r="B87" s="2" t="s">
        <v>165</v>
      </c>
      <c r="C87" s="2" t="s">
        <v>55</v>
      </c>
    </row>
    <row r="88" spans="1:3" x14ac:dyDescent="0.2">
      <c r="A88">
        <v>4</v>
      </c>
      <c r="B88" s="2" t="s">
        <v>165</v>
      </c>
      <c r="C88" s="2" t="s">
        <v>57</v>
      </c>
    </row>
    <row r="89" spans="1:3" x14ac:dyDescent="0.2">
      <c r="A89">
        <v>4</v>
      </c>
      <c r="B89" s="2" t="s">
        <v>165</v>
      </c>
      <c r="C89" s="2" t="s">
        <v>58</v>
      </c>
    </row>
    <row r="90" spans="1:3" x14ac:dyDescent="0.2">
      <c r="A90">
        <v>4</v>
      </c>
      <c r="B90" s="2" t="s">
        <v>165</v>
      </c>
      <c r="C90" s="2" t="s">
        <v>64</v>
      </c>
    </row>
    <row r="91" spans="1:3" x14ac:dyDescent="0.2">
      <c r="A91">
        <v>4</v>
      </c>
      <c r="B91" s="2" t="s">
        <v>165</v>
      </c>
      <c r="C91" s="2" t="s">
        <v>66</v>
      </c>
    </row>
    <row r="92" spans="1:3" x14ac:dyDescent="0.2">
      <c r="A92">
        <v>4</v>
      </c>
      <c r="B92" s="2" t="s">
        <v>165</v>
      </c>
      <c r="C92" s="2" t="s">
        <v>182</v>
      </c>
    </row>
    <row r="93" spans="1:3" x14ac:dyDescent="0.2">
      <c r="A93">
        <v>4</v>
      </c>
      <c r="B93" s="2" t="s">
        <v>165</v>
      </c>
      <c r="C93" s="2" t="s">
        <v>73</v>
      </c>
    </row>
    <row r="94" spans="1:3" x14ac:dyDescent="0.2">
      <c r="A94">
        <v>4</v>
      </c>
      <c r="B94" s="2" t="s">
        <v>165</v>
      </c>
      <c r="C94" s="2" t="s">
        <v>75</v>
      </c>
    </row>
    <row r="95" spans="1:3" x14ac:dyDescent="0.2">
      <c r="A95">
        <v>4</v>
      </c>
      <c r="B95" s="2" t="s">
        <v>165</v>
      </c>
      <c r="C95" s="2" t="s">
        <v>80</v>
      </c>
    </row>
    <row r="96" spans="1:3" x14ac:dyDescent="0.2">
      <c r="A96">
        <v>4</v>
      </c>
      <c r="B96" s="2" t="s">
        <v>165</v>
      </c>
      <c r="C96" s="2" t="s">
        <v>82</v>
      </c>
    </row>
    <row r="97" spans="1:3" x14ac:dyDescent="0.2">
      <c r="A97">
        <v>4</v>
      </c>
      <c r="B97" s="2" t="s">
        <v>165</v>
      </c>
      <c r="C97" s="2" t="s">
        <v>83</v>
      </c>
    </row>
    <row r="98" spans="1:3" x14ac:dyDescent="0.2">
      <c r="A98">
        <v>4</v>
      </c>
      <c r="B98" s="2" t="s">
        <v>165</v>
      </c>
      <c r="C98" s="2" t="s">
        <v>87</v>
      </c>
    </row>
    <row r="99" spans="1:3" x14ac:dyDescent="0.2">
      <c r="A99">
        <v>4</v>
      </c>
      <c r="B99" s="2" t="s">
        <v>165</v>
      </c>
      <c r="C99" s="2" t="s">
        <v>166</v>
      </c>
    </row>
    <row r="100" spans="1:3" x14ac:dyDescent="0.2">
      <c r="A100">
        <v>4</v>
      </c>
      <c r="B100" s="2" t="s">
        <v>165</v>
      </c>
      <c r="C100" s="2" t="s">
        <v>96</v>
      </c>
    </row>
    <row r="101" spans="1:3" x14ac:dyDescent="0.2">
      <c r="A101">
        <v>4</v>
      </c>
      <c r="B101" s="2" t="s">
        <v>165</v>
      </c>
      <c r="C101" s="2" t="s">
        <v>100</v>
      </c>
    </row>
    <row r="102" spans="1:3" x14ac:dyDescent="0.2">
      <c r="A102">
        <v>4</v>
      </c>
      <c r="B102" s="2" t="s">
        <v>165</v>
      </c>
      <c r="C102" s="2" t="s">
        <v>101</v>
      </c>
    </row>
    <row r="103" spans="1:3" x14ac:dyDescent="0.2">
      <c r="A103">
        <v>4</v>
      </c>
      <c r="B103" s="2" t="s">
        <v>165</v>
      </c>
      <c r="C103" s="2" t="s">
        <v>106</v>
      </c>
    </row>
    <row r="104" spans="1:3" x14ac:dyDescent="0.2">
      <c r="A104">
        <v>4</v>
      </c>
      <c r="B104" s="2" t="s">
        <v>165</v>
      </c>
      <c r="C104" s="2" t="s">
        <v>107</v>
      </c>
    </row>
    <row r="105" spans="1:3" x14ac:dyDescent="0.2">
      <c r="A105">
        <v>4</v>
      </c>
      <c r="B105" s="2" t="s">
        <v>165</v>
      </c>
      <c r="C105" s="2" t="s">
        <v>108</v>
      </c>
    </row>
    <row r="106" spans="1:3" x14ac:dyDescent="0.2">
      <c r="A106">
        <v>4</v>
      </c>
      <c r="B106" s="2" t="s">
        <v>165</v>
      </c>
      <c r="C106" s="2" t="s">
        <v>112</v>
      </c>
    </row>
    <row r="107" spans="1:3" x14ac:dyDescent="0.2">
      <c r="A107">
        <v>4</v>
      </c>
      <c r="B107" s="2" t="s">
        <v>165</v>
      </c>
      <c r="C107" s="2" t="s">
        <v>113</v>
      </c>
    </row>
    <row r="108" spans="1:3" x14ac:dyDescent="0.2">
      <c r="A108">
        <v>4</v>
      </c>
      <c r="B108" s="2" t="s">
        <v>165</v>
      </c>
      <c r="C108" s="2" t="s">
        <v>114</v>
      </c>
    </row>
    <row r="109" spans="1:3" x14ac:dyDescent="0.2">
      <c r="A109">
        <v>4</v>
      </c>
      <c r="B109" s="2" t="s">
        <v>165</v>
      </c>
      <c r="C109" s="2" t="s">
        <v>116</v>
      </c>
    </row>
    <row r="110" spans="1:3" x14ac:dyDescent="0.2">
      <c r="A110">
        <v>4</v>
      </c>
      <c r="B110" s="2" t="s">
        <v>165</v>
      </c>
      <c r="C110" s="2" t="s">
        <v>117</v>
      </c>
    </row>
    <row r="111" spans="1:3" x14ac:dyDescent="0.2">
      <c r="A111">
        <v>4</v>
      </c>
      <c r="B111" s="2" t="s">
        <v>165</v>
      </c>
      <c r="C111" s="2" t="s">
        <v>119</v>
      </c>
    </row>
    <row r="112" spans="1:3" x14ac:dyDescent="0.2">
      <c r="A112">
        <v>4</v>
      </c>
      <c r="B112" s="2" t="s">
        <v>165</v>
      </c>
      <c r="C112" s="2" t="s">
        <v>123</v>
      </c>
    </row>
    <row r="113" spans="1:3" x14ac:dyDescent="0.2">
      <c r="A113">
        <v>4</v>
      </c>
      <c r="B113" s="2" t="s">
        <v>165</v>
      </c>
      <c r="C113" s="2" t="s">
        <v>127</v>
      </c>
    </row>
    <row r="114" spans="1:3" x14ac:dyDescent="0.2">
      <c r="A114">
        <v>4</v>
      </c>
      <c r="B114" s="2" t="s">
        <v>165</v>
      </c>
      <c r="C114" s="2" t="s">
        <v>133</v>
      </c>
    </row>
    <row r="115" spans="1:3" x14ac:dyDescent="0.2">
      <c r="A115">
        <v>4</v>
      </c>
      <c r="B115" s="2" t="s">
        <v>165</v>
      </c>
      <c r="C115" s="2" t="s">
        <v>139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C54B43-721B-104F-81F6-641C6F5AE8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Category Report</vt:lpstr>
      <vt:lpstr>Cleaned category table</vt:lpstr>
      <vt:lpstr>Category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Indhuja Parthiban</dc:creator>
  <cp:lastModifiedBy>Indhuja Parthiban</cp:lastModifiedBy>
  <dcterms:created xsi:type="dcterms:W3CDTF">2026-02-05T10:16:29Z</dcterms:created>
  <dcterms:modified xsi:type="dcterms:W3CDTF">2026-02-09T13:19:33Z</dcterms:modified>
</cp:coreProperties>
</file>